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8C4F1C90-05EB-6A55-5F09-09C24B55AC0B}"/>
  <workbookPr showInkAnnotation="0" codeName="DieseArbeitsmappe"/>
  <mc:AlternateContent xmlns:mc="http://schemas.openxmlformats.org/markup-compatibility/2006">
    <mc:Choice Requires="x15">
      <x15ac:absPath xmlns:x15ac="http://schemas.microsoft.com/office/spreadsheetml/2010/11/ac" url="\\eonakku\home\ebc\ssi-dja\Desktop\"/>
    </mc:Choice>
  </mc:AlternateContent>
  <workbookProtection workbookPassword="EE1F" lockStructure="1"/>
  <bookViews>
    <workbookView xWindow="0" yWindow="0" windowWidth="3975" windowHeight="7680" tabRatio="833" activeTab="7"/>
  </bookViews>
  <sheets>
    <sheet name="Übersicht" sheetId="57" r:id="rId1"/>
    <sheet name="Hinweise" sheetId="83" r:id="rId2"/>
    <sheet name="Januar" sheetId="39" r:id="rId3"/>
    <sheet name="Februar" sheetId="71" r:id="rId4"/>
    <sheet name="März" sheetId="72" r:id="rId5"/>
    <sheet name="April" sheetId="73" r:id="rId6"/>
    <sheet name="Mai" sheetId="74" r:id="rId7"/>
    <sheet name="Juni" sheetId="75" r:id="rId8"/>
    <sheet name="Juli" sheetId="76" r:id="rId9"/>
    <sheet name="August" sheetId="77" r:id="rId10"/>
    <sheet name="September" sheetId="78" r:id="rId11"/>
    <sheet name="Oktober" sheetId="79" r:id="rId12"/>
    <sheet name="November" sheetId="80" r:id="rId13"/>
    <sheet name="Dezember" sheetId="81" r:id="rId14"/>
  </sheets>
  <definedNames>
    <definedName name="Auswahlart">Übersicht!$B$33:$B$34</definedName>
    <definedName name="_xlnm.Print_Area" localSheetId="5">April!$A$1:$Q$62</definedName>
    <definedName name="_xlnm.Print_Area" localSheetId="9">August!$A$1:$Q$62</definedName>
    <definedName name="_xlnm.Print_Area" localSheetId="13">Dezember!$A$1:$Q$62</definedName>
    <definedName name="_xlnm.Print_Area" localSheetId="3">Februar!$A$1:$Q$62</definedName>
    <definedName name="_xlnm.Print_Area" localSheetId="1">Hinweise!$B$1:$L$60</definedName>
    <definedName name="_xlnm.Print_Area" localSheetId="2">Januar!$A$1:$Q$62</definedName>
    <definedName name="_xlnm.Print_Area" localSheetId="8">Juli!$A$1:$Q$62</definedName>
    <definedName name="_xlnm.Print_Area" localSheetId="7">Juni!$A$1:$Q$62</definedName>
    <definedName name="_xlnm.Print_Area" localSheetId="6">Mai!$A$1:$Q$62</definedName>
    <definedName name="_xlnm.Print_Area" localSheetId="4">März!$A$1:$Q$62</definedName>
    <definedName name="_xlnm.Print_Area" localSheetId="12">November!$A$1:$Q$62</definedName>
    <definedName name="_xlnm.Print_Area" localSheetId="11">Oktober!$A$1:$Q$62</definedName>
    <definedName name="_xlnm.Print_Area" localSheetId="10">September!$A$1:$Q$62</definedName>
    <definedName name="_xlnm.Print_Area" localSheetId="0">Übersicht!$B$2:$P$12</definedName>
    <definedName name="Vorgaben" localSheetId="5">#REF!</definedName>
    <definedName name="Vorgaben" localSheetId="9">#REF!</definedName>
    <definedName name="Vorgaben" localSheetId="13">#REF!</definedName>
    <definedName name="Vorgaben" localSheetId="3">#REF!</definedName>
    <definedName name="Vorgaben" localSheetId="1">#REF!</definedName>
    <definedName name="Vorgaben" localSheetId="8">#REF!</definedName>
    <definedName name="Vorgaben" localSheetId="7">#REF!</definedName>
    <definedName name="Vorgaben" localSheetId="6">#REF!</definedName>
    <definedName name="Vorgaben" localSheetId="4">#REF!</definedName>
    <definedName name="Vorgaben" localSheetId="12">#REF!</definedName>
    <definedName name="Vorgaben" localSheetId="11">#REF!</definedName>
    <definedName name="Vorgaben" localSheetId="10">#REF!</definedName>
    <definedName name="Vorgaben">Übersicht!$B$33:$B$34</definedName>
  </definedNames>
  <calcPr calcId="162913"/>
</workbook>
</file>

<file path=xl/calcChain.xml><?xml version="1.0" encoding="utf-8"?>
<calcChain xmlns="http://schemas.openxmlformats.org/spreadsheetml/2006/main">
  <c r="M7" i="39" l="1"/>
  <c r="N17" i="81" l="1"/>
  <c r="G17" i="81"/>
  <c r="M16" i="81"/>
  <c r="L16" i="81"/>
  <c r="K16" i="81"/>
  <c r="J16" i="81"/>
  <c r="I16" i="81"/>
  <c r="N13" i="81"/>
  <c r="E9" i="81"/>
  <c r="E7" i="81"/>
  <c r="M5" i="81"/>
  <c r="E5" i="81"/>
  <c r="K2" i="81"/>
  <c r="A21" i="81" s="1"/>
  <c r="N17" i="80"/>
  <c r="G17" i="80"/>
  <c r="M16" i="80"/>
  <c r="L16" i="80"/>
  <c r="K16" i="80"/>
  <c r="J16" i="80"/>
  <c r="I16" i="80"/>
  <c r="N13" i="80"/>
  <c r="E9" i="80"/>
  <c r="E7" i="80"/>
  <c r="M5" i="80"/>
  <c r="E5" i="80"/>
  <c r="K2" i="80"/>
  <c r="A21" i="80" s="1"/>
  <c r="N17" i="79"/>
  <c r="G17" i="79"/>
  <c r="M16" i="79"/>
  <c r="L16" i="79"/>
  <c r="K16" i="79"/>
  <c r="J16" i="79"/>
  <c r="I16" i="79"/>
  <c r="N13" i="79"/>
  <c r="E9" i="79"/>
  <c r="E7" i="79"/>
  <c r="M5" i="79"/>
  <c r="E5" i="79"/>
  <c r="K2" i="79"/>
  <c r="A21" i="79" s="1"/>
  <c r="N17" i="78"/>
  <c r="G17" i="78"/>
  <c r="M16" i="78"/>
  <c r="L16" i="78"/>
  <c r="K16" i="78"/>
  <c r="J16" i="78"/>
  <c r="I16" i="78"/>
  <c r="N13" i="78"/>
  <c r="E9" i="78"/>
  <c r="E7" i="78"/>
  <c r="M5" i="78"/>
  <c r="E5" i="78"/>
  <c r="K2" i="78"/>
  <c r="A21" i="78" s="1"/>
  <c r="N17" i="77"/>
  <c r="G17" i="77"/>
  <c r="M16" i="77"/>
  <c r="L16" i="77"/>
  <c r="K16" i="77"/>
  <c r="J16" i="77"/>
  <c r="I16" i="77"/>
  <c r="N13" i="77"/>
  <c r="E9" i="77"/>
  <c r="E7" i="77"/>
  <c r="M5" i="77"/>
  <c r="E5" i="77"/>
  <c r="K2" i="77"/>
  <c r="A21" i="77" s="1"/>
  <c r="N17" i="76"/>
  <c r="G17" i="76"/>
  <c r="M16" i="76"/>
  <c r="L16" i="76"/>
  <c r="K16" i="76"/>
  <c r="J16" i="76"/>
  <c r="I16" i="76"/>
  <c r="N13" i="76"/>
  <c r="E9" i="76"/>
  <c r="E7" i="76"/>
  <c r="M5" i="76"/>
  <c r="E5" i="76"/>
  <c r="K2" i="76"/>
  <c r="A21" i="76" s="1"/>
  <c r="N17" i="75"/>
  <c r="G17" i="75"/>
  <c r="M16" i="75"/>
  <c r="L16" i="75"/>
  <c r="K16" i="75"/>
  <c r="J16" i="75"/>
  <c r="I16" i="75"/>
  <c r="N13" i="75"/>
  <c r="E9" i="75"/>
  <c r="E7" i="75"/>
  <c r="M5" i="75"/>
  <c r="E5" i="75"/>
  <c r="K2" i="75"/>
  <c r="A21" i="75" s="1"/>
  <c r="N17" i="74"/>
  <c r="G17" i="74"/>
  <c r="M16" i="74"/>
  <c r="L16" i="74"/>
  <c r="K16" i="74"/>
  <c r="J16" i="74"/>
  <c r="I16" i="74"/>
  <c r="N13" i="74"/>
  <c r="E9" i="74"/>
  <c r="E7" i="74"/>
  <c r="M5" i="74"/>
  <c r="E5" i="74"/>
  <c r="K2" i="74"/>
  <c r="A21" i="74" s="1"/>
  <c r="N17" i="73"/>
  <c r="G17" i="73"/>
  <c r="M16" i="73"/>
  <c r="L16" i="73"/>
  <c r="K16" i="73"/>
  <c r="J16" i="73"/>
  <c r="I16" i="73"/>
  <c r="N13" i="73"/>
  <c r="E9" i="73"/>
  <c r="E7" i="73"/>
  <c r="M5" i="73"/>
  <c r="E5" i="73"/>
  <c r="K2" i="73"/>
  <c r="A21" i="73" s="1"/>
  <c r="N17" i="72"/>
  <c r="G17" i="72"/>
  <c r="M16" i="72"/>
  <c r="L16" i="72"/>
  <c r="K16" i="72"/>
  <c r="J16" i="72"/>
  <c r="I16" i="72"/>
  <c r="N13" i="72"/>
  <c r="E9" i="72"/>
  <c r="E7" i="72"/>
  <c r="M5" i="72"/>
  <c r="E5" i="72"/>
  <c r="K2" i="72"/>
  <c r="A21" i="72" s="1"/>
  <c r="N17" i="71"/>
  <c r="G17" i="71"/>
  <c r="M16" i="71"/>
  <c r="L16" i="71"/>
  <c r="K16" i="71"/>
  <c r="J16" i="71"/>
  <c r="I16" i="71"/>
  <c r="N13" i="71"/>
  <c r="E9" i="71"/>
  <c r="E7" i="71"/>
  <c r="M5" i="71"/>
  <c r="E5" i="71"/>
  <c r="K2" i="71"/>
  <c r="A21" i="71" s="1"/>
  <c r="B22" i="71" l="1"/>
  <c r="S8" i="77"/>
  <c r="S7" i="77"/>
  <c r="S8" i="72"/>
  <c r="S7" i="72"/>
  <c r="S7" i="71"/>
  <c r="S8" i="71"/>
  <c r="S7" i="74"/>
  <c r="S8" i="74"/>
  <c r="S8" i="80"/>
  <c r="S7" i="80"/>
  <c r="S7" i="79"/>
  <c r="S8" i="79"/>
  <c r="S8" i="76"/>
  <c r="S7" i="76"/>
  <c r="S8" i="73"/>
  <c r="S7" i="73"/>
  <c r="S7" i="78"/>
  <c r="S8" i="78"/>
  <c r="S8" i="81"/>
  <c r="S7" i="81"/>
  <c r="S7" i="75"/>
  <c r="S8" i="75"/>
  <c r="B22" i="81"/>
  <c r="A22" i="81" s="1"/>
  <c r="B22" i="80"/>
  <c r="B22" i="79"/>
  <c r="A22" i="79" s="1"/>
  <c r="B22" i="78"/>
  <c r="A22" i="78" s="1"/>
  <c r="B22" i="77"/>
  <c r="A22" i="77" s="1"/>
  <c r="B22" i="76"/>
  <c r="A22" i="76" s="1"/>
  <c r="B22" i="75"/>
  <c r="A22" i="75" s="1"/>
  <c r="B22" i="74"/>
  <c r="B22" i="73"/>
  <c r="A22" i="73" s="1"/>
  <c r="B22" i="72"/>
  <c r="A22" i="72" s="1"/>
  <c r="F12" i="72" l="1"/>
  <c r="F12" i="73" s="1"/>
  <c r="F12" i="74" s="1"/>
  <c r="F12" i="75" s="1"/>
  <c r="F12" i="76" s="1"/>
  <c r="F12" i="77" s="1"/>
  <c r="F12" i="78" s="1"/>
  <c r="F12" i="79" s="1"/>
  <c r="F12" i="80" s="1"/>
  <c r="F12" i="81" s="1"/>
  <c r="B23" i="81"/>
  <c r="A22" i="80"/>
  <c r="B23" i="80"/>
  <c r="B23" i="79"/>
  <c r="B23" i="78"/>
  <c r="B23" i="77"/>
  <c r="B23" i="76"/>
  <c r="B23" i="75"/>
  <c r="A22" i="74"/>
  <c r="B23" i="74"/>
  <c r="B23" i="73"/>
  <c r="B23" i="72"/>
  <c r="A22" i="71"/>
  <c r="B23" i="71"/>
  <c r="E9" i="39"/>
  <c r="J12" i="71" l="1"/>
  <c r="K12" i="71"/>
  <c r="I12" i="71"/>
  <c r="L12" i="71"/>
  <c r="M12" i="71"/>
  <c r="M12" i="72"/>
  <c r="J12" i="72"/>
  <c r="I12" i="72"/>
  <c r="L12" i="72"/>
  <c r="K12" i="72"/>
  <c r="A23" i="81"/>
  <c r="B24" i="81"/>
  <c r="A23" i="80"/>
  <c r="B24" i="80"/>
  <c r="A23" i="79"/>
  <c r="B24" i="79"/>
  <c r="A23" i="78"/>
  <c r="B24" i="78"/>
  <c r="A23" i="77"/>
  <c r="B24" i="77"/>
  <c r="A23" i="76"/>
  <c r="B24" i="76"/>
  <c r="A23" i="75"/>
  <c r="B24" i="75"/>
  <c r="A23" i="74"/>
  <c r="B24" i="74"/>
  <c r="A23" i="73"/>
  <c r="B24" i="73"/>
  <c r="A23" i="72"/>
  <c r="B24" i="72"/>
  <c r="A23" i="71"/>
  <c r="B24" i="71"/>
  <c r="K2" i="39"/>
  <c r="M5" i="39"/>
  <c r="E7" i="39"/>
  <c r="S7" i="39" l="1"/>
  <c r="S8" i="39"/>
  <c r="I12" i="73"/>
  <c r="K12" i="73"/>
  <c r="L12" i="73"/>
  <c r="J12" i="73"/>
  <c r="M12" i="73"/>
  <c r="A24" i="81"/>
  <c r="B25" i="81"/>
  <c r="A24" i="80"/>
  <c r="B25" i="80"/>
  <c r="B25" i="79"/>
  <c r="A24" i="79"/>
  <c r="A24" i="78"/>
  <c r="B25" i="78"/>
  <c r="B25" i="77"/>
  <c r="A24" i="77"/>
  <c r="A24" i="76"/>
  <c r="B25" i="76"/>
  <c r="A24" i="75"/>
  <c r="B25" i="75"/>
  <c r="A24" i="74"/>
  <c r="B25" i="74"/>
  <c r="A24" i="73"/>
  <c r="B25" i="73"/>
  <c r="A24" i="72"/>
  <c r="B25" i="72"/>
  <c r="A24" i="71"/>
  <c r="B25" i="71"/>
  <c r="C18" i="57"/>
  <c r="C24" i="57" s="1"/>
  <c r="C20" i="57"/>
  <c r="C25" i="57"/>
  <c r="C26" i="57"/>
  <c r="C30" i="57"/>
  <c r="C29" i="57"/>
  <c r="C28" i="57"/>
  <c r="C27" i="57"/>
  <c r="C16" i="57"/>
  <c r="J12" i="74" l="1"/>
  <c r="M12" i="74"/>
  <c r="K12" i="74"/>
  <c r="L12" i="74"/>
  <c r="I12" i="74"/>
  <c r="A25" i="81"/>
  <c r="B26" i="81"/>
  <c r="A25" i="80"/>
  <c r="B26" i="80"/>
  <c r="A25" i="79"/>
  <c r="B26" i="79"/>
  <c r="A25" i="78"/>
  <c r="B26" i="78"/>
  <c r="A25" i="77"/>
  <c r="B26" i="77"/>
  <c r="B26" i="76"/>
  <c r="A25" i="76"/>
  <c r="A25" i="75"/>
  <c r="B26" i="75"/>
  <c r="A25" i="74"/>
  <c r="B26" i="74"/>
  <c r="A25" i="73"/>
  <c r="B26" i="73"/>
  <c r="A25" i="72"/>
  <c r="B26" i="72"/>
  <c r="A25" i="71"/>
  <c r="B26" i="71"/>
  <c r="C21" i="57"/>
  <c r="C22" i="57"/>
  <c r="C23" i="57" s="1"/>
  <c r="C19" i="57"/>
  <c r="C24" i="81" s="1"/>
  <c r="C17" i="57"/>
  <c r="C22" i="71" s="1"/>
  <c r="C24" i="76" l="1"/>
  <c r="C23" i="76"/>
  <c r="E22" i="71"/>
  <c r="I22" i="71" s="1"/>
  <c r="J22" i="71" s="1"/>
  <c r="C23" i="75"/>
  <c r="C24" i="74"/>
  <c r="E24" i="74" s="1"/>
  <c r="C24" i="79"/>
  <c r="E24" i="79" s="1"/>
  <c r="I24" i="79" s="1"/>
  <c r="J24" i="79" s="1"/>
  <c r="C23" i="81"/>
  <c r="C22" i="80"/>
  <c r="C25" i="76"/>
  <c r="C23" i="77"/>
  <c r="C22" i="72"/>
  <c r="C23" i="74"/>
  <c r="C22" i="77"/>
  <c r="C23" i="78"/>
  <c r="C22" i="74"/>
  <c r="C23" i="73"/>
  <c r="C24" i="72"/>
  <c r="E24" i="72" s="1"/>
  <c r="I24" i="72" s="1"/>
  <c r="J24" i="72" s="1"/>
  <c r="C22" i="81"/>
  <c r="C23" i="72"/>
  <c r="C22" i="73"/>
  <c r="C23" i="80"/>
  <c r="C24" i="71"/>
  <c r="E24" i="71" s="1"/>
  <c r="C24" i="73"/>
  <c r="E24" i="73" s="1"/>
  <c r="C24" i="77"/>
  <c r="C22" i="78"/>
  <c r="C23" i="71"/>
  <c r="C24" i="78"/>
  <c r="C24" i="80"/>
  <c r="C22" i="75"/>
  <c r="C23" i="79"/>
  <c r="C24" i="75"/>
  <c r="C22" i="79"/>
  <c r="C22" i="76"/>
  <c r="J12" i="75"/>
  <c r="K12" i="75"/>
  <c r="L12" i="75"/>
  <c r="I12" i="75"/>
  <c r="M12" i="75"/>
  <c r="A26" i="81"/>
  <c r="B27" i="81"/>
  <c r="C25" i="81"/>
  <c r="C25" i="80"/>
  <c r="A26" i="80"/>
  <c r="B27" i="80"/>
  <c r="C25" i="79"/>
  <c r="A26" i="79"/>
  <c r="B27" i="79"/>
  <c r="C25" i="78"/>
  <c r="A26" i="78"/>
  <c r="B27" i="78"/>
  <c r="C25" i="77"/>
  <c r="A26" i="77"/>
  <c r="B27" i="77"/>
  <c r="B27" i="76"/>
  <c r="A26" i="76"/>
  <c r="C26" i="76" s="1"/>
  <c r="C25" i="75"/>
  <c r="E25" i="75" s="1"/>
  <c r="A26" i="75"/>
  <c r="B27" i="75"/>
  <c r="A26" i="74"/>
  <c r="B27" i="74"/>
  <c r="C25" i="74"/>
  <c r="A26" i="73"/>
  <c r="B27" i="73"/>
  <c r="C25" i="73"/>
  <c r="E25" i="73" s="1"/>
  <c r="A26" i="72"/>
  <c r="C26" i="72" s="1"/>
  <c r="B27" i="72"/>
  <c r="C25" i="72"/>
  <c r="A26" i="71"/>
  <c r="B27" i="71"/>
  <c r="C25" i="71"/>
  <c r="E25" i="71" s="1"/>
  <c r="M12" i="39"/>
  <c r="L12" i="39"/>
  <c r="K12" i="39"/>
  <c r="J12" i="39"/>
  <c r="I12" i="39"/>
  <c r="E23" i="75" l="1"/>
  <c r="I23" i="75" s="1"/>
  <c r="J23" i="75" s="1"/>
  <c r="E24" i="75"/>
  <c r="I24" i="75" s="1"/>
  <c r="J24" i="75" s="1"/>
  <c r="E23" i="74"/>
  <c r="I23" i="74" s="1"/>
  <c r="J23" i="74" s="1"/>
  <c r="E22" i="72"/>
  <c r="I22" i="72" s="1"/>
  <c r="J22" i="72" s="1"/>
  <c r="E22" i="80"/>
  <c r="I22" i="80" s="1"/>
  <c r="J22" i="80" s="1"/>
  <c r="E22" i="73"/>
  <c r="I22" i="73" s="1"/>
  <c r="J22" i="73" s="1"/>
  <c r="E23" i="72"/>
  <c r="I23" i="72" s="1"/>
  <c r="J23" i="72" s="1"/>
  <c r="E23" i="71"/>
  <c r="I23" i="71" s="1"/>
  <c r="J23" i="71" s="1"/>
  <c r="E23" i="73"/>
  <c r="I23" i="73" s="1"/>
  <c r="J23" i="73" s="1"/>
  <c r="E22" i="75"/>
  <c r="I22" i="75" s="1"/>
  <c r="J22" i="75" s="1"/>
  <c r="E22" i="74"/>
  <c r="I22" i="74" s="1"/>
  <c r="J22" i="74" s="1"/>
  <c r="M12" i="76"/>
  <c r="I12" i="76"/>
  <c r="E25" i="76" s="1"/>
  <c r="I25" i="76" s="1"/>
  <c r="J25" i="76" s="1"/>
  <c r="L12" i="76"/>
  <c r="E23" i="76" s="1"/>
  <c r="K12" i="76"/>
  <c r="J12" i="76"/>
  <c r="A27" i="81"/>
  <c r="B28" i="81"/>
  <c r="C26" i="81"/>
  <c r="A27" i="80"/>
  <c r="B28" i="80"/>
  <c r="C26" i="80"/>
  <c r="A27" i="79"/>
  <c r="B28" i="79"/>
  <c r="C26" i="79"/>
  <c r="A27" i="78"/>
  <c r="B28" i="78"/>
  <c r="C26" i="78"/>
  <c r="A27" i="77"/>
  <c r="B28" i="77"/>
  <c r="C26" i="77"/>
  <c r="B28" i="76"/>
  <c r="A27" i="76"/>
  <c r="C27" i="76" s="1"/>
  <c r="C26" i="75"/>
  <c r="E26" i="75" s="1"/>
  <c r="A27" i="75"/>
  <c r="B28" i="75"/>
  <c r="I25" i="75"/>
  <c r="J25" i="75" s="1"/>
  <c r="A27" i="74"/>
  <c r="B28" i="74"/>
  <c r="I24" i="74"/>
  <c r="J24" i="74" s="1"/>
  <c r="E25" i="74"/>
  <c r="C26" i="74"/>
  <c r="E26" i="74" s="1"/>
  <c r="I25" i="73"/>
  <c r="J25" i="73" s="1"/>
  <c r="A27" i="73"/>
  <c r="B28" i="73"/>
  <c r="C26" i="73"/>
  <c r="E26" i="73" s="1"/>
  <c r="I24" i="73"/>
  <c r="J24" i="73" s="1"/>
  <c r="A27" i="72"/>
  <c r="C27" i="72" s="1"/>
  <c r="B28" i="72"/>
  <c r="E25" i="72"/>
  <c r="I24" i="71"/>
  <c r="J24" i="71" s="1"/>
  <c r="I25" i="71"/>
  <c r="J25" i="71" s="1"/>
  <c r="A27" i="71"/>
  <c r="B28" i="71"/>
  <c r="C26" i="71"/>
  <c r="E26" i="71" s="1"/>
  <c r="G17" i="39"/>
  <c r="M16" i="39"/>
  <c r="L16" i="39"/>
  <c r="K16" i="39"/>
  <c r="J16" i="39"/>
  <c r="I16" i="39"/>
  <c r="N17" i="39"/>
  <c r="A21" i="39"/>
  <c r="N13" i="39"/>
  <c r="E26" i="76" l="1"/>
  <c r="E24" i="76"/>
  <c r="I24" i="76" s="1"/>
  <c r="J24" i="76" s="1"/>
  <c r="E22" i="76"/>
  <c r="I22" i="76" s="1"/>
  <c r="J22" i="76" s="1"/>
  <c r="I25" i="72"/>
  <c r="J25" i="72" s="1"/>
  <c r="I26" i="76"/>
  <c r="J26" i="76" s="1"/>
  <c r="I23" i="76"/>
  <c r="J23" i="76" s="1"/>
  <c r="I12" i="77"/>
  <c r="L12" i="77"/>
  <c r="J12" i="77"/>
  <c r="K12" i="77"/>
  <c r="M12" i="77"/>
  <c r="C27" i="81"/>
  <c r="A28" i="81"/>
  <c r="B29" i="81"/>
  <c r="C27" i="80"/>
  <c r="A28" i="80"/>
  <c r="B29" i="80"/>
  <c r="A28" i="79"/>
  <c r="B29" i="79"/>
  <c r="C27" i="79"/>
  <c r="A28" i="78"/>
  <c r="B29" i="78"/>
  <c r="C27" i="78"/>
  <c r="A28" i="77"/>
  <c r="B29" i="77"/>
  <c r="C27" i="77"/>
  <c r="A28" i="76"/>
  <c r="C28" i="76" s="1"/>
  <c r="B29" i="76"/>
  <c r="A28" i="75"/>
  <c r="B29" i="75"/>
  <c r="I26" i="75"/>
  <c r="J26" i="75" s="1"/>
  <c r="C27" i="75"/>
  <c r="E27" i="75" s="1"/>
  <c r="C27" i="74"/>
  <c r="E27" i="74" s="1"/>
  <c r="I26" i="74"/>
  <c r="J26" i="74" s="1"/>
  <c r="A28" i="74"/>
  <c r="B29" i="74"/>
  <c r="I25" i="74"/>
  <c r="J25" i="74" s="1"/>
  <c r="C27" i="73"/>
  <c r="E27" i="73" s="1"/>
  <c r="I26" i="73"/>
  <c r="J26" i="73" s="1"/>
  <c r="A28" i="73"/>
  <c r="B29" i="73"/>
  <c r="E26" i="72"/>
  <c r="A28" i="72"/>
  <c r="C28" i="72" s="1"/>
  <c r="B29" i="72"/>
  <c r="E27" i="72"/>
  <c r="A28" i="71"/>
  <c r="B29" i="71"/>
  <c r="C27" i="71"/>
  <c r="I26" i="71"/>
  <c r="J26" i="71" s="1"/>
  <c r="B22" i="39"/>
  <c r="E26" i="77" l="1"/>
  <c r="I26" i="77" s="1"/>
  <c r="J26" i="77" s="1"/>
  <c r="E24" i="77"/>
  <c r="I24" i="77" s="1"/>
  <c r="J24" i="77" s="1"/>
  <c r="E22" i="77"/>
  <c r="I22" i="77" s="1"/>
  <c r="J22" i="77" s="1"/>
  <c r="E25" i="77"/>
  <c r="I25" i="77" s="1"/>
  <c r="J25" i="77" s="1"/>
  <c r="E23" i="77"/>
  <c r="I23" i="77" s="1"/>
  <c r="J23" i="77" s="1"/>
  <c r="E27" i="77"/>
  <c r="I27" i="77" s="1"/>
  <c r="J27" i="77" s="1"/>
  <c r="I12" i="78"/>
  <c r="E26" i="78" s="1"/>
  <c r="I26" i="78" s="1"/>
  <c r="J26" i="78" s="1"/>
  <c r="K12" i="78"/>
  <c r="J12" i="78"/>
  <c r="M12" i="78"/>
  <c r="L12" i="78"/>
  <c r="E24" i="78" s="1"/>
  <c r="A29" i="81"/>
  <c r="C29" i="81" s="1"/>
  <c r="B30" i="81"/>
  <c r="C28" i="81"/>
  <c r="C28" i="80"/>
  <c r="A29" i="80"/>
  <c r="B30" i="80"/>
  <c r="C28" i="79"/>
  <c r="A29" i="79"/>
  <c r="B30" i="79"/>
  <c r="C28" i="78"/>
  <c r="A29" i="78"/>
  <c r="B30" i="78"/>
  <c r="A29" i="77"/>
  <c r="B30" i="77"/>
  <c r="C28" i="77"/>
  <c r="E28" i="77" s="1"/>
  <c r="E28" i="76"/>
  <c r="A29" i="76"/>
  <c r="C29" i="76" s="1"/>
  <c r="B30" i="76"/>
  <c r="E27" i="76"/>
  <c r="I27" i="75"/>
  <c r="J27" i="75" s="1"/>
  <c r="A29" i="75"/>
  <c r="B30" i="75"/>
  <c r="C28" i="75"/>
  <c r="A29" i="74"/>
  <c r="B30" i="74"/>
  <c r="I27" i="74"/>
  <c r="J27" i="74" s="1"/>
  <c r="C28" i="74"/>
  <c r="E28" i="74" s="1"/>
  <c r="C28" i="73"/>
  <c r="A29" i="73"/>
  <c r="B30" i="73"/>
  <c r="I27" i="73"/>
  <c r="J27" i="73" s="1"/>
  <c r="I26" i="72"/>
  <c r="J26" i="72" s="1"/>
  <c r="I27" i="72"/>
  <c r="J27" i="72" s="1"/>
  <c r="A29" i="72"/>
  <c r="C29" i="72" s="1"/>
  <c r="B30" i="72"/>
  <c r="C28" i="71"/>
  <c r="A29" i="71"/>
  <c r="B30" i="71"/>
  <c r="E27" i="71"/>
  <c r="B23" i="39"/>
  <c r="B24" i="39" s="1"/>
  <c r="A22" i="39"/>
  <c r="C22" i="39" s="1"/>
  <c r="E25" i="78" l="1"/>
  <c r="E22" i="78"/>
  <c r="I22" i="78" s="1"/>
  <c r="J22" i="78" s="1"/>
  <c r="E23" i="78"/>
  <c r="I23" i="78" s="1"/>
  <c r="J23" i="78" s="1"/>
  <c r="E27" i="78"/>
  <c r="I27" i="78" s="1"/>
  <c r="J27" i="78" s="1"/>
  <c r="I27" i="71"/>
  <c r="J27" i="71" s="1"/>
  <c r="I27" i="76"/>
  <c r="J27" i="76" s="1"/>
  <c r="I25" i="78"/>
  <c r="J25" i="78" s="1"/>
  <c r="I24" i="78"/>
  <c r="J24" i="78" s="1"/>
  <c r="J12" i="79"/>
  <c r="M12" i="79"/>
  <c r="E23" i="79" s="1"/>
  <c r="K12" i="79"/>
  <c r="L12" i="79"/>
  <c r="E22" i="79" s="1"/>
  <c r="I12" i="79"/>
  <c r="A30" i="81"/>
  <c r="B31" i="81"/>
  <c r="C29" i="80"/>
  <c r="A30" i="80"/>
  <c r="B31" i="80"/>
  <c r="A30" i="79"/>
  <c r="B31" i="79"/>
  <c r="C29" i="79"/>
  <c r="C29" i="78"/>
  <c r="E29" i="78" s="1"/>
  <c r="A30" i="78"/>
  <c r="B31" i="78"/>
  <c r="E28" i="78"/>
  <c r="A30" i="77"/>
  <c r="B31" i="77"/>
  <c r="C29" i="77"/>
  <c r="I28" i="77"/>
  <c r="J28" i="77" s="1"/>
  <c r="A30" i="76"/>
  <c r="B31" i="76"/>
  <c r="E29" i="76"/>
  <c r="I28" i="76"/>
  <c r="J28" i="76" s="1"/>
  <c r="A30" i="75"/>
  <c r="B31" i="75"/>
  <c r="C29" i="75"/>
  <c r="E28" i="75"/>
  <c r="A30" i="74"/>
  <c r="B31" i="74"/>
  <c r="I28" i="74"/>
  <c r="J28" i="74" s="1"/>
  <c r="C29" i="74"/>
  <c r="A30" i="73"/>
  <c r="B31" i="73"/>
  <c r="C29" i="73"/>
  <c r="E28" i="73"/>
  <c r="A30" i="72"/>
  <c r="C30" i="72" s="1"/>
  <c r="B31" i="72"/>
  <c r="E28" i="72"/>
  <c r="C29" i="71"/>
  <c r="A30" i="71"/>
  <c r="B31" i="71"/>
  <c r="E28" i="71"/>
  <c r="A23" i="39"/>
  <c r="C23" i="39" s="1"/>
  <c r="A24" i="39"/>
  <c r="C24" i="39" s="1"/>
  <c r="B25" i="39"/>
  <c r="E26" i="79" l="1"/>
  <c r="E28" i="79"/>
  <c r="I28" i="79" s="1"/>
  <c r="J28" i="79" s="1"/>
  <c r="E27" i="79"/>
  <c r="I27" i="79" s="1"/>
  <c r="J27" i="79" s="1"/>
  <c r="E25" i="79"/>
  <c r="I25" i="79" s="1"/>
  <c r="J25" i="79" s="1"/>
  <c r="C30" i="76"/>
  <c r="E30" i="76" s="1"/>
  <c r="I30" i="76" s="1"/>
  <c r="J30" i="76" s="1"/>
  <c r="I22" i="79"/>
  <c r="J22" i="79" s="1"/>
  <c r="I28" i="72"/>
  <c r="J28" i="72" s="1"/>
  <c r="I29" i="76"/>
  <c r="J29" i="76" s="1"/>
  <c r="I28" i="75"/>
  <c r="J28" i="75" s="1"/>
  <c r="I26" i="79"/>
  <c r="J26" i="79" s="1"/>
  <c r="I23" i="79"/>
  <c r="J23" i="79" s="1"/>
  <c r="J12" i="80"/>
  <c r="I12" i="80"/>
  <c r="M12" i="80"/>
  <c r="E27" i="80" s="1"/>
  <c r="L12" i="80"/>
  <c r="E26" i="80" s="1"/>
  <c r="K12" i="80"/>
  <c r="A31" i="81"/>
  <c r="B32" i="81"/>
  <c r="C30" i="81"/>
  <c r="A31" i="80"/>
  <c r="B32" i="80"/>
  <c r="C30" i="80"/>
  <c r="C30" i="79"/>
  <c r="E29" i="79"/>
  <c r="A31" i="79"/>
  <c r="B32" i="79"/>
  <c r="A31" i="78"/>
  <c r="B32" i="78"/>
  <c r="I29" i="78"/>
  <c r="J29" i="78" s="1"/>
  <c r="C30" i="78"/>
  <c r="I28" i="78"/>
  <c r="J28" i="78" s="1"/>
  <c r="C30" i="77"/>
  <c r="E29" i="77"/>
  <c r="A31" i="77"/>
  <c r="B32" i="77"/>
  <c r="A31" i="76"/>
  <c r="B32" i="76"/>
  <c r="C30" i="75"/>
  <c r="E29" i="75"/>
  <c r="A31" i="75"/>
  <c r="B32" i="75"/>
  <c r="C30" i="74"/>
  <c r="E29" i="74"/>
  <c r="A31" i="74"/>
  <c r="B32" i="74"/>
  <c r="I28" i="73"/>
  <c r="J28" i="73" s="1"/>
  <c r="A31" i="73"/>
  <c r="B32" i="73"/>
  <c r="E29" i="73"/>
  <c r="C30" i="73"/>
  <c r="A31" i="72"/>
  <c r="C31" i="72" s="1"/>
  <c r="B32" i="72"/>
  <c r="B33" i="72" s="1"/>
  <c r="E29" i="72"/>
  <c r="A31" i="71"/>
  <c r="B32" i="71"/>
  <c r="C30" i="71"/>
  <c r="I28" i="71"/>
  <c r="J28" i="71" s="1"/>
  <c r="E29" i="71"/>
  <c r="E22" i="39"/>
  <c r="B26" i="39"/>
  <c r="A25" i="39"/>
  <c r="C25" i="39" s="1"/>
  <c r="E23" i="39"/>
  <c r="E24" i="39"/>
  <c r="E29" i="80" l="1"/>
  <c r="E25" i="80"/>
  <c r="E24" i="80"/>
  <c r="I24" i="80" s="1"/>
  <c r="J24" i="80" s="1"/>
  <c r="E23" i="80"/>
  <c r="I23" i="80" s="1"/>
  <c r="J23" i="80" s="1"/>
  <c r="E28" i="80"/>
  <c r="I28" i="80" s="1"/>
  <c r="J28" i="80" s="1"/>
  <c r="B34" i="72"/>
  <c r="A33" i="72"/>
  <c r="C31" i="76"/>
  <c r="E31" i="76" s="1"/>
  <c r="I31" i="76" s="1"/>
  <c r="J31" i="76" s="1"/>
  <c r="I29" i="77"/>
  <c r="J29" i="77" s="1"/>
  <c r="I25" i="80"/>
  <c r="J25" i="80" s="1"/>
  <c r="I29" i="71"/>
  <c r="J29" i="71" s="1"/>
  <c r="I29" i="79"/>
  <c r="J29" i="79" s="1"/>
  <c r="I27" i="80"/>
  <c r="J27" i="80" s="1"/>
  <c r="I29" i="80"/>
  <c r="J29" i="80" s="1"/>
  <c r="I29" i="73"/>
  <c r="J29" i="73" s="1"/>
  <c r="I22" i="39"/>
  <c r="J22" i="39" s="1"/>
  <c r="K22" i="39" s="1"/>
  <c r="I23" i="39"/>
  <c r="J23" i="39" s="1"/>
  <c r="I26" i="80"/>
  <c r="J26" i="80" s="1"/>
  <c r="K12" i="81"/>
  <c r="L12" i="81"/>
  <c r="E24" i="81" s="1"/>
  <c r="I12" i="81"/>
  <c r="J12" i="81"/>
  <c r="M12" i="81"/>
  <c r="E25" i="81" s="1"/>
  <c r="A32" i="81"/>
  <c r="B33" i="81"/>
  <c r="C31" i="81"/>
  <c r="B33" i="80"/>
  <c r="A32" i="80"/>
  <c r="E30" i="80"/>
  <c r="C31" i="80"/>
  <c r="E31" i="80" s="1"/>
  <c r="B33" i="79"/>
  <c r="A32" i="79"/>
  <c r="C31" i="79"/>
  <c r="E30" i="79"/>
  <c r="C31" i="78"/>
  <c r="E31" i="78" s="1"/>
  <c r="A32" i="78"/>
  <c r="B33" i="78"/>
  <c r="E30" i="78"/>
  <c r="A32" i="77"/>
  <c r="B33" i="77"/>
  <c r="C31" i="77"/>
  <c r="E31" i="77" s="1"/>
  <c r="E30" i="77"/>
  <c r="A32" i="76"/>
  <c r="B33" i="76"/>
  <c r="A32" i="75"/>
  <c r="B33" i="75"/>
  <c r="I29" i="75"/>
  <c r="J29" i="75" s="1"/>
  <c r="C31" i="75"/>
  <c r="E30" i="75"/>
  <c r="A32" i="74"/>
  <c r="B33" i="74"/>
  <c r="I29" i="74"/>
  <c r="J29" i="74" s="1"/>
  <c r="C31" i="74"/>
  <c r="E31" i="74" s="1"/>
  <c r="E30" i="74"/>
  <c r="C31" i="73"/>
  <c r="E31" i="73" s="1"/>
  <c r="E30" i="73"/>
  <c r="A32" i="73"/>
  <c r="B33" i="73"/>
  <c r="A32" i="72"/>
  <c r="C32" i="72" s="1"/>
  <c r="I29" i="72"/>
  <c r="J29" i="72" s="1"/>
  <c r="E31" i="72"/>
  <c r="E30" i="72"/>
  <c r="C31" i="71"/>
  <c r="E31" i="71" s="1"/>
  <c r="E30" i="71"/>
  <c r="A32" i="71"/>
  <c r="B33" i="71"/>
  <c r="I24" i="39"/>
  <c r="J24" i="39" s="1"/>
  <c r="A26" i="39"/>
  <c r="C26" i="39" s="1"/>
  <c r="B27" i="39"/>
  <c r="E25" i="39"/>
  <c r="E27" i="81" l="1"/>
  <c r="I27" i="81" s="1"/>
  <c r="J27" i="81" s="1"/>
  <c r="E30" i="81"/>
  <c r="I30" i="81" s="1"/>
  <c r="J30" i="81" s="1"/>
  <c r="E23" i="81"/>
  <c r="I23" i="81" s="1"/>
  <c r="J23" i="81" s="1"/>
  <c r="E28" i="81"/>
  <c r="I28" i="81" s="1"/>
  <c r="J28" i="81" s="1"/>
  <c r="E26" i="81"/>
  <c r="I26" i="81" s="1"/>
  <c r="J26" i="81" s="1"/>
  <c r="C32" i="76"/>
  <c r="E32" i="76" s="1"/>
  <c r="I32" i="76" s="1"/>
  <c r="J32" i="76" s="1"/>
  <c r="A34" i="72"/>
  <c r="B35" i="72"/>
  <c r="I25" i="81"/>
  <c r="J25" i="81" s="1"/>
  <c r="I30" i="73"/>
  <c r="J30" i="73" s="1"/>
  <c r="I30" i="78"/>
  <c r="J30" i="78" s="1"/>
  <c r="I30" i="71"/>
  <c r="J30" i="71" s="1"/>
  <c r="I30" i="72"/>
  <c r="J30" i="72" s="1"/>
  <c r="K23" i="39"/>
  <c r="K24" i="39" s="1"/>
  <c r="E22" i="81"/>
  <c r="E29" i="81"/>
  <c r="I24" i="81"/>
  <c r="J24" i="81" s="1"/>
  <c r="A33" i="81"/>
  <c r="B34" i="81"/>
  <c r="E31" i="81"/>
  <c r="C32" i="81"/>
  <c r="C32" i="80"/>
  <c r="E32" i="80" s="1"/>
  <c r="I30" i="80"/>
  <c r="J30" i="80" s="1"/>
  <c r="I31" i="80"/>
  <c r="J31" i="80" s="1"/>
  <c r="A33" i="80"/>
  <c r="B34" i="80"/>
  <c r="I30" i="79"/>
  <c r="J30" i="79" s="1"/>
  <c r="C32" i="79"/>
  <c r="E31" i="79"/>
  <c r="A33" i="79"/>
  <c r="B34" i="79"/>
  <c r="I31" i="78"/>
  <c r="J31" i="78" s="1"/>
  <c r="A33" i="78"/>
  <c r="B34" i="78"/>
  <c r="C32" i="78"/>
  <c r="E32" i="78" s="1"/>
  <c r="I30" i="77"/>
  <c r="J30" i="77" s="1"/>
  <c r="A33" i="77"/>
  <c r="B34" i="77"/>
  <c r="I31" i="77"/>
  <c r="J31" i="77" s="1"/>
  <c r="C32" i="77"/>
  <c r="A33" i="76"/>
  <c r="C33" i="76" s="1"/>
  <c r="B34" i="76"/>
  <c r="E31" i="75"/>
  <c r="A33" i="75"/>
  <c r="B34" i="75"/>
  <c r="C32" i="75"/>
  <c r="I30" i="75"/>
  <c r="J30" i="75" s="1"/>
  <c r="C32" i="74"/>
  <c r="I31" i="74"/>
  <c r="J31" i="74" s="1"/>
  <c r="I30" i="74"/>
  <c r="J30" i="74" s="1"/>
  <c r="A33" i="74"/>
  <c r="B34" i="74"/>
  <c r="A33" i="73"/>
  <c r="B34" i="73"/>
  <c r="C32" i="73"/>
  <c r="E32" i="73" s="1"/>
  <c r="I31" i="73"/>
  <c r="J31" i="73" s="1"/>
  <c r="I31" i="72"/>
  <c r="J31" i="72" s="1"/>
  <c r="A33" i="71"/>
  <c r="B34" i="71"/>
  <c r="C32" i="71"/>
  <c r="I31" i="71"/>
  <c r="J31" i="71" s="1"/>
  <c r="I25" i="39"/>
  <c r="J25" i="39" s="1"/>
  <c r="B28" i="39"/>
  <c r="B29" i="39" s="1"/>
  <c r="B30" i="39" s="1"/>
  <c r="B31" i="39" s="1"/>
  <c r="B32" i="39" s="1"/>
  <c r="B33" i="39" s="1"/>
  <c r="B34" i="39" s="1"/>
  <c r="B35" i="39" s="1"/>
  <c r="B36" i="39" s="1"/>
  <c r="B37" i="39" s="1"/>
  <c r="B38" i="39" s="1"/>
  <c r="B39" i="39" s="1"/>
  <c r="B40" i="39" s="1"/>
  <c r="B41" i="39" s="1"/>
  <c r="B42" i="39" s="1"/>
  <c r="B43" i="39" s="1"/>
  <c r="B44" i="39" s="1"/>
  <c r="B45" i="39" s="1"/>
  <c r="B46" i="39" s="1"/>
  <c r="B47" i="39" s="1"/>
  <c r="B48" i="39" s="1"/>
  <c r="B49" i="39" s="1"/>
  <c r="B50" i="39" s="1"/>
  <c r="B51" i="39" s="1"/>
  <c r="B52" i="39" s="1"/>
  <c r="A27" i="39"/>
  <c r="C27" i="39" s="1"/>
  <c r="E26" i="39"/>
  <c r="A35" i="72" l="1"/>
  <c r="B36" i="72"/>
  <c r="E33" i="76"/>
  <c r="I33" i="76" s="1"/>
  <c r="J33" i="76" s="1"/>
  <c r="I29" i="81"/>
  <c r="J29" i="81" s="1"/>
  <c r="I22" i="81"/>
  <c r="J22" i="81" s="1"/>
  <c r="K25" i="39"/>
  <c r="I26" i="39"/>
  <c r="J26" i="39" s="1"/>
  <c r="A34" i="81"/>
  <c r="B35" i="81"/>
  <c r="C33" i="81"/>
  <c r="E32" i="81"/>
  <c r="I31" i="81"/>
  <c r="J31" i="81" s="1"/>
  <c r="C33" i="80"/>
  <c r="I32" i="80"/>
  <c r="J32" i="80" s="1"/>
  <c r="A34" i="80"/>
  <c r="B35" i="80"/>
  <c r="C33" i="79"/>
  <c r="E33" i="79" s="1"/>
  <c r="I31" i="79"/>
  <c r="J31" i="79" s="1"/>
  <c r="A34" i="79"/>
  <c r="B35" i="79"/>
  <c r="E32" i="79"/>
  <c r="A34" i="78"/>
  <c r="B35" i="78"/>
  <c r="I32" i="78"/>
  <c r="J32" i="78" s="1"/>
  <c r="C33" i="78"/>
  <c r="E33" i="78" s="1"/>
  <c r="E32" i="77"/>
  <c r="A34" i="77"/>
  <c r="B35" i="77"/>
  <c r="C33" i="77"/>
  <c r="A34" i="76"/>
  <c r="C34" i="76" s="1"/>
  <c r="B35" i="76"/>
  <c r="A34" i="75"/>
  <c r="B35" i="75"/>
  <c r="C33" i="75"/>
  <c r="E32" i="75"/>
  <c r="I31" i="75"/>
  <c r="J31" i="75" s="1"/>
  <c r="C33" i="74"/>
  <c r="A34" i="74"/>
  <c r="B35" i="74"/>
  <c r="E32" i="74"/>
  <c r="A34" i="73"/>
  <c r="B35" i="73"/>
  <c r="I32" i="73"/>
  <c r="J32" i="73" s="1"/>
  <c r="C33" i="73"/>
  <c r="C33" i="72"/>
  <c r="E32" i="72"/>
  <c r="E32" i="71"/>
  <c r="A34" i="71"/>
  <c r="B35" i="71"/>
  <c r="C33" i="71"/>
  <c r="E27" i="39"/>
  <c r="A28" i="39"/>
  <c r="C28" i="39" s="1"/>
  <c r="A36" i="72" l="1"/>
  <c r="B37" i="72"/>
  <c r="I27" i="39"/>
  <c r="J27" i="39" s="1"/>
  <c r="K26" i="39"/>
  <c r="C34" i="81"/>
  <c r="A35" i="81"/>
  <c r="B36" i="81"/>
  <c r="E33" i="81"/>
  <c r="I32" i="81"/>
  <c r="J32" i="81" s="1"/>
  <c r="C34" i="80"/>
  <c r="E34" i="80" s="1"/>
  <c r="A35" i="80"/>
  <c r="B36" i="80"/>
  <c r="E33" i="80"/>
  <c r="A35" i="79"/>
  <c r="B36" i="79"/>
  <c r="C34" i="79"/>
  <c r="I33" i="79"/>
  <c r="J33" i="79" s="1"/>
  <c r="I32" i="79"/>
  <c r="J32" i="79" s="1"/>
  <c r="A35" i="78"/>
  <c r="B36" i="78"/>
  <c r="C34" i="78"/>
  <c r="E34" i="78" s="1"/>
  <c r="I33" i="78"/>
  <c r="J33" i="78" s="1"/>
  <c r="C34" i="77"/>
  <c r="E33" i="77"/>
  <c r="I32" i="77"/>
  <c r="J32" i="77" s="1"/>
  <c r="A35" i="77"/>
  <c r="B36" i="77"/>
  <c r="A35" i="76"/>
  <c r="C35" i="76" s="1"/>
  <c r="B36" i="76"/>
  <c r="E34" i="76"/>
  <c r="I32" i="75"/>
  <c r="J32" i="75" s="1"/>
  <c r="A35" i="75"/>
  <c r="B36" i="75"/>
  <c r="E33" i="75"/>
  <c r="C34" i="75"/>
  <c r="C34" i="74"/>
  <c r="E34" i="74" s="1"/>
  <c r="I32" i="74"/>
  <c r="J32" i="74" s="1"/>
  <c r="A35" i="74"/>
  <c r="B36" i="74"/>
  <c r="E33" i="74"/>
  <c r="A35" i="73"/>
  <c r="B36" i="73"/>
  <c r="C34" i="73"/>
  <c r="E33" i="73"/>
  <c r="C34" i="72"/>
  <c r="I32" i="72"/>
  <c r="J32" i="72" s="1"/>
  <c r="E33" i="72"/>
  <c r="C34" i="71"/>
  <c r="E33" i="71"/>
  <c r="A35" i="71"/>
  <c r="B36" i="71"/>
  <c r="I32" i="71"/>
  <c r="J32" i="71" s="1"/>
  <c r="A29" i="39"/>
  <c r="C29" i="39" s="1"/>
  <c r="E28" i="39"/>
  <c r="A37" i="72" l="1"/>
  <c r="B38" i="72"/>
  <c r="I33" i="71"/>
  <c r="J33" i="71" s="1"/>
  <c r="I33" i="77"/>
  <c r="J33" i="77" s="1"/>
  <c r="I33" i="75"/>
  <c r="J33" i="75" s="1"/>
  <c r="I33" i="73"/>
  <c r="J33" i="73" s="1"/>
  <c r="I33" i="72"/>
  <c r="J33" i="72" s="1"/>
  <c r="I28" i="39"/>
  <c r="J28" i="39" s="1"/>
  <c r="K27" i="39"/>
  <c r="A36" i="81"/>
  <c r="B37" i="81"/>
  <c r="E34" i="81"/>
  <c r="C35" i="81"/>
  <c r="E35" i="81" s="1"/>
  <c r="I33" i="81"/>
  <c r="J33" i="81" s="1"/>
  <c r="I34" i="80"/>
  <c r="J34" i="80" s="1"/>
  <c r="A36" i="80"/>
  <c r="B37" i="80"/>
  <c r="I33" i="80"/>
  <c r="J33" i="80" s="1"/>
  <c r="C35" i="80"/>
  <c r="E35" i="80" s="1"/>
  <c r="A36" i="79"/>
  <c r="B37" i="79"/>
  <c r="C35" i="79"/>
  <c r="E34" i="79"/>
  <c r="A36" i="78"/>
  <c r="B37" i="78"/>
  <c r="C35" i="78"/>
  <c r="I34" i="78"/>
  <c r="J34" i="78" s="1"/>
  <c r="C35" i="77"/>
  <c r="A36" i="77"/>
  <c r="B37" i="77"/>
  <c r="E34" i="77"/>
  <c r="I34" i="76"/>
  <c r="J34" i="76" s="1"/>
  <c r="B37" i="76"/>
  <c r="A36" i="76"/>
  <c r="C36" i="76" s="1"/>
  <c r="C35" i="75"/>
  <c r="E35" i="75" s="1"/>
  <c r="E34" i="75"/>
  <c r="A36" i="75"/>
  <c r="B37" i="75"/>
  <c r="A36" i="74"/>
  <c r="B37" i="74"/>
  <c r="C35" i="74"/>
  <c r="E35" i="74" s="1"/>
  <c r="I34" i="74"/>
  <c r="J34" i="74" s="1"/>
  <c r="I33" i="74"/>
  <c r="J33" i="74" s="1"/>
  <c r="E34" i="73"/>
  <c r="A36" i="73"/>
  <c r="B37" i="73"/>
  <c r="C35" i="73"/>
  <c r="E35" i="73" s="1"/>
  <c r="C35" i="72"/>
  <c r="E35" i="72" s="1"/>
  <c r="E34" i="72"/>
  <c r="A36" i="71"/>
  <c r="B37" i="71"/>
  <c r="C35" i="71"/>
  <c r="E34" i="71"/>
  <c r="A30" i="39"/>
  <c r="C30" i="39" s="1"/>
  <c r="A38" i="72" l="1"/>
  <c r="B39" i="72"/>
  <c r="I34" i="72"/>
  <c r="J34" i="72" s="1"/>
  <c r="I34" i="79"/>
  <c r="J34" i="79" s="1"/>
  <c r="I34" i="81"/>
  <c r="J34" i="81" s="1"/>
  <c r="I34" i="73"/>
  <c r="J34" i="73" s="1"/>
  <c r="I34" i="75"/>
  <c r="J34" i="75" s="1"/>
  <c r="K28" i="39"/>
  <c r="C36" i="81"/>
  <c r="E36" i="81" s="1"/>
  <c r="I35" i="81"/>
  <c r="J35" i="81" s="1"/>
  <c r="A37" i="81"/>
  <c r="B38" i="81"/>
  <c r="I35" i="80"/>
  <c r="J35" i="80" s="1"/>
  <c r="C36" i="80"/>
  <c r="E36" i="80" s="1"/>
  <c r="A37" i="80"/>
  <c r="B38" i="80"/>
  <c r="A37" i="79"/>
  <c r="B38" i="79"/>
  <c r="C36" i="79"/>
  <c r="E35" i="79"/>
  <c r="A37" i="78"/>
  <c r="B38" i="78"/>
  <c r="C36" i="78"/>
  <c r="E35" i="78"/>
  <c r="C36" i="77"/>
  <c r="E36" i="77" s="1"/>
  <c r="E35" i="77"/>
  <c r="I34" i="77"/>
  <c r="J34" i="77" s="1"/>
  <c r="A37" i="77"/>
  <c r="B38" i="77"/>
  <c r="E36" i="76"/>
  <c r="A37" i="76"/>
  <c r="C37" i="76" s="1"/>
  <c r="B38" i="76"/>
  <c r="E35" i="76"/>
  <c r="C36" i="75"/>
  <c r="E36" i="75" s="1"/>
  <c r="A37" i="75"/>
  <c r="B38" i="75"/>
  <c r="I35" i="75"/>
  <c r="J35" i="75" s="1"/>
  <c r="C36" i="74"/>
  <c r="E36" i="74" s="1"/>
  <c r="I35" i="74"/>
  <c r="J35" i="74" s="1"/>
  <c r="A37" i="74"/>
  <c r="B38" i="74"/>
  <c r="A37" i="73"/>
  <c r="B38" i="73"/>
  <c r="C36" i="73"/>
  <c r="E36" i="73" s="1"/>
  <c r="I35" i="73"/>
  <c r="J35" i="73" s="1"/>
  <c r="C36" i="72"/>
  <c r="I35" i="72"/>
  <c r="J35" i="72" s="1"/>
  <c r="A37" i="71"/>
  <c r="B38" i="71"/>
  <c r="I34" i="71"/>
  <c r="J34" i="71" s="1"/>
  <c r="C36" i="71"/>
  <c r="E35" i="71"/>
  <c r="E29" i="39"/>
  <c r="A31" i="39"/>
  <c r="C31" i="39" s="1"/>
  <c r="E37" i="76" l="1"/>
  <c r="A39" i="72"/>
  <c r="B40" i="72"/>
  <c r="B41" i="72" s="1"/>
  <c r="I35" i="76"/>
  <c r="J35" i="76" s="1"/>
  <c r="I35" i="71"/>
  <c r="J35" i="71" s="1"/>
  <c r="I35" i="78"/>
  <c r="J35" i="78" s="1"/>
  <c r="I36" i="76"/>
  <c r="J36" i="76" s="1"/>
  <c r="I35" i="77"/>
  <c r="J35" i="77" s="1"/>
  <c r="I29" i="39"/>
  <c r="J29" i="39" s="1"/>
  <c r="K29" i="39" s="1"/>
  <c r="C37" i="81"/>
  <c r="E37" i="81" s="1"/>
  <c r="A38" i="81"/>
  <c r="B39" i="81"/>
  <c r="I36" i="81"/>
  <c r="J36" i="81" s="1"/>
  <c r="A38" i="80"/>
  <c r="B39" i="80"/>
  <c r="C37" i="80"/>
  <c r="I36" i="80"/>
  <c r="J36" i="80" s="1"/>
  <c r="A38" i="79"/>
  <c r="B39" i="79"/>
  <c r="C37" i="79"/>
  <c r="E36" i="79"/>
  <c r="I35" i="79"/>
  <c r="J35" i="79" s="1"/>
  <c r="A38" i="78"/>
  <c r="B39" i="78"/>
  <c r="C37" i="78"/>
  <c r="E37" i="78" s="1"/>
  <c r="E36" i="78"/>
  <c r="C37" i="77"/>
  <c r="I36" i="77"/>
  <c r="J36" i="77" s="1"/>
  <c r="A38" i="77"/>
  <c r="B39" i="77"/>
  <c r="A38" i="76"/>
  <c r="B39" i="76"/>
  <c r="I37" i="76"/>
  <c r="J37" i="76" s="1"/>
  <c r="A38" i="75"/>
  <c r="B39" i="75"/>
  <c r="C37" i="75"/>
  <c r="I36" i="75"/>
  <c r="J36" i="75" s="1"/>
  <c r="A38" i="74"/>
  <c r="B39" i="74"/>
  <c r="C37" i="74"/>
  <c r="I36" i="74"/>
  <c r="J36" i="74" s="1"/>
  <c r="A38" i="73"/>
  <c r="B39" i="73"/>
  <c r="C37" i="73"/>
  <c r="I36" i="73"/>
  <c r="J36" i="73" s="1"/>
  <c r="C37" i="72"/>
  <c r="E37" i="72" s="1"/>
  <c r="E36" i="72"/>
  <c r="C37" i="71"/>
  <c r="E36" i="71"/>
  <c r="A38" i="71"/>
  <c r="B39" i="71"/>
  <c r="E30" i="39"/>
  <c r="E31" i="39"/>
  <c r="A32" i="39"/>
  <c r="C32" i="39" s="1"/>
  <c r="C38" i="76" l="1"/>
  <c r="E38" i="76" s="1"/>
  <c r="I38" i="76" s="1"/>
  <c r="J38" i="76" s="1"/>
  <c r="I36" i="71"/>
  <c r="J36" i="71" s="1"/>
  <c r="I30" i="39"/>
  <c r="J30" i="39" s="1"/>
  <c r="K30" i="39" s="1"/>
  <c r="I31" i="39"/>
  <c r="J31" i="39" s="1"/>
  <c r="I37" i="81"/>
  <c r="J37" i="81" s="1"/>
  <c r="A39" i="81"/>
  <c r="B40" i="81"/>
  <c r="C38" i="81"/>
  <c r="C38" i="80"/>
  <c r="E38" i="80" s="1"/>
  <c r="A39" i="80"/>
  <c r="B40" i="80"/>
  <c r="E37" i="80"/>
  <c r="E37" i="79"/>
  <c r="A39" i="79"/>
  <c r="B40" i="79"/>
  <c r="I36" i="79"/>
  <c r="J36" i="79" s="1"/>
  <c r="C38" i="79"/>
  <c r="E38" i="79" s="1"/>
  <c r="A39" i="78"/>
  <c r="B40" i="78"/>
  <c r="C38" i="78"/>
  <c r="I36" i="78"/>
  <c r="J36" i="78" s="1"/>
  <c r="I37" i="78"/>
  <c r="J37" i="78" s="1"/>
  <c r="A39" i="77"/>
  <c r="B40" i="77"/>
  <c r="C38" i="77"/>
  <c r="E38" i="77" s="1"/>
  <c r="E37" i="77"/>
  <c r="A39" i="76"/>
  <c r="B40" i="76"/>
  <c r="A39" i="75"/>
  <c r="B40" i="75"/>
  <c r="E37" i="75"/>
  <c r="C38" i="75"/>
  <c r="E38" i="75" s="1"/>
  <c r="A39" i="74"/>
  <c r="B40" i="74"/>
  <c r="C38" i="74"/>
  <c r="E37" i="74"/>
  <c r="A39" i="73"/>
  <c r="B40" i="73"/>
  <c r="C38" i="73"/>
  <c r="E37" i="73"/>
  <c r="C38" i="72"/>
  <c r="I36" i="72"/>
  <c r="J36" i="72" s="1"/>
  <c r="I37" i="72"/>
  <c r="J37" i="72" s="1"/>
  <c r="A39" i="71"/>
  <c r="B40" i="71"/>
  <c r="C38" i="71"/>
  <c r="E37" i="71"/>
  <c r="A33" i="39"/>
  <c r="C33" i="39" s="1"/>
  <c r="E32" i="39"/>
  <c r="C39" i="76" l="1"/>
  <c r="E39" i="76" s="1"/>
  <c r="I39" i="76" s="1"/>
  <c r="J39" i="76" s="1"/>
  <c r="I37" i="75"/>
  <c r="J37" i="75" s="1"/>
  <c r="I37" i="71"/>
  <c r="J37" i="71" s="1"/>
  <c r="I37" i="73"/>
  <c r="J37" i="73" s="1"/>
  <c r="K31" i="39"/>
  <c r="I32" i="39"/>
  <c r="J32" i="39" s="1"/>
  <c r="C39" i="81"/>
  <c r="E39" i="81" s="1"/>
  <c r="E38" i="81"/>
  <c r="A40" i="81"/>
  <c r="B41" i="81"/>
  <c r="I38" i="80"/>
  <c r="J38" i="80" s="1"/>
  <c r="C39" i="80"/>
  <c r="E39" i="80" s="1"/>
  <c r="I37" i="80"/>
  <c r="J37" i="80" s="1"/>
  <c r="B41" i="80"/>
  <c r="A40" i="80"/>
  <c r="A40" i="79"/>
  <c r="B41" i="79"/>
  <c r="I37" i="79"/>
  <c r="J37" i="79" s="1"/>
  <c r="I38" i="79"/>
  <c r="J38" i="79" s="1"/>
  <c r="C39" i="79"/>
  <c r="C39" i="78"/>
  <c r="E39" i="78" s="1"/>
  <c r="E38" i="78"/>
  <c r="A40" i="78"/>
  <c r="B41" i="78"/>
  <c r="A40" i="77"/>
  <c r="B41" i="77"/>
  <c r="C39" i="77"/>
  <c r="E39" i="77" s="1"/>
  <c r="I37" i="77"/>
  <c r="J37" i="77" s="1"/>
  <c r="I38" i="77"/>
  <c r="J38" i="77" s="1"/>
  <c r="A40" i="76"/>
  <c r="C40" i="76" s="1"/>
  <c r="B41" i="76"/>
  <c r="I38" i="75"/>
  <c r="J38" i="75" s="1"/>
  <c r="A40" i="75"/>
  <c r="B41" i="75"/>
  <c r="C39" i="75"/>
  <c r="E39" i="75" s="1"/>
  <c r="A40" i="74"/>
  <c r="B41" i="74"/>
  <c r="C39" i="74"/>
  <c r="E38" i="74"/>
  <c r="I37" i="74"/>
  <c r="J37" i="74" s="1"/>
  <c r="A40" i="73"/>
  <c r="B41" i="73"/>
  <c r="C39" i="73"/>
  <c r="E39" i="73" s="1"/>
  <c r="E38" i="73"/>
  <c r="A40" i="72"/>
  <c r="E38" i="72"/>
  <c r="C39" i="72"/>
  <c r="B41" i="71"/>
  <c r="A40" i="71"/>
  <c r="C39" i="71"/>
  <c r="E39" i="71" s="1"/>
  <c r="E38" i="71"/>
  <c r="A34" i="39"/>
  <c r="C34" i="39" s="1"/>
  <c r="E33" i="39"/>
  <c r="I38" i="81" l="1"/>
  <c r="J38" i="81" s="1"/>
  <c r="I38" i="73"/>
  <c r="J38" i="73" s="1"/>
  <c r="I38" i="78"/>
  <c r="J38" i="78" s="1"/>
  <c r="I38" i="72"/>
  <c r="J38" i="72" s="1"/>
  <c r="I33" i="39"/>
  <c r="J33" i="39" s="1"/>
  <c r="K32" i="39"/>
  <c r="A41" i="81"/>
  <c r="B42" i="81"/>
  <c r="C40" i="81"/>
  <c r="E40" i="81" s="1"/>
  <c r="I39" i="81"/>
  <c r="J39" i="81" s="1"/>
  <c r="C40" i="80"/>
  <c r="E40" i="80" s="1"/>
  <c r="A41" i="80"/>
  <c r="B42" i="80"/>
  <c r="I39" i="80"/>
  <c r="J39" i="80" s="1"/>
  <c r="C40" i="79"/>
  <c r="E39" i="79"/>
  <c r="A41" i="79"/>
  <c r="B42" i="79"/>
  <c r="A41" i="78"/>
  <c r="B42" i="78"/>
  <c r="I39" i="78"/>
  <c r="J39" i="78" s="1"/>
  <c r="C40" i="78"/>
  <c r="A41" i="77"/>
  <c r="B42" i="77"/>
  <c r="C40" i="77"/>
  <c r="I39" i="77"/>
  <c r="J39" i="77" s="1"/>
  <c r="B42" i="76"/>
  <c r="A41" i="76"/>
  <c r="C41" i="76" s="1"/>
  <c r="E40" i="76"/>
  <c r="A41" i="75"/>
  <c r="B42" i="75"/>
  <c r="C40" i="75"/>
  <c r="I39" i="75"/>
  <c r="J39" i="75" s="1"/>
  <c r="I38" i="74"/>
  <c r="J38" i="74" s="1"/>
  <c r="A41" i="74"/>
  <c r="B42" i="74"/>
  <c r="E39" i="74"/>
  <c r="C40" i="74"/>
  <c r="E40" i="74" s="1"/>
  <c r="A41" i="73"/>
  <c r="B42" i="73"/>
  <c r="C40" i="73"/>
  <c r="I39" i="73"/>
  <c r="J39" i="73" s="1"/>
  <c r="C40" i="72"/>
  <c r="A41" i="72"/>
  <c r="B42" i="72"/>
  <c r="E39" i="72"/>
  <c r="A41" i="71"/>
  <c r="B42" i="71"/>
  <c r="C40" i="71"/>
  <c r="I39" i="71"/>
  <c r="J39" i="71" s="1"/>
  <c r="I38" i="71"/>
  <c r="J38" i="71" s="1"/>
  <c r="A35" i="39"/>
  <c r="C35" i="39" s="1"/>
  <c r="I39" i="72" l="1"/>
  <c r="J39" i="72" s="1"/>
  <c r="I40" i="76"/>
  <c r="J40" i="76" s="1"/>
  <c r="I39" i="79"/>
  <c r="J39" i="79" s="1"/>
  <c r="K33" i="39"/>
  <c r="A42" i="81"/>
  <c r="B43" i="81"/>
  <c r="I40" i="81"/>
  <c r="J40" i="81" s="1"/>
  <c r="C41" i="81"/>
  <c r="C41" i="80"/>
  <c r="E41" i="80" s="1"/>
  <c r="I40" i="80"/>
  <c r="J40" i="80" s="1"/>
  <c r="A42" i="80"/>
  <c r="B43" i="80"/>
  <c r="C41" i="79"/>
  <c r="E41" i="79" s="1"/>
  <c r="E40" i="79"/>
  <c r="A42" i="79"/>
  <c r="B43" i="79"/>
  <c r="A42" i="78"/>
  <c r="B43" i="78"/>
  <c r="C41" i="78"/>
  <c r="E41" i="78" s="1"/>
  <c r="E40" i="78"/>
  <c r="A42" i="77"/>
  <c r="B43" i="77"/>
  <c r="C41" i="77"/>
  <c r="E41" i="77" s="1"/>
  <c r="E40" i="77"/>
  <c r="E41" i="76"/>
  <c r="A42" i="76"/>
  <c r="C42" i="76" s="1"/>
  <c r="B43" i="76"/>
  <c r="A42" i="75"/>
  <c r="B43" i="75"/>
  <c r="C41" i="75"/>
  <c r="E41" i="75" s="1"/>
  <c r="E40" i="75"/>
  <c r="A42" i="74"/>
  <c r="B43" i="74"/>
  <c r="I39" i="74"/>
  <c r="J39" i="74" s="1"/>
  <c r="I40" i="74"/>
  <c r="J40" i="74" s="1"/>
  <c r="C41" i="74"/>
  <c r="A42" i="73"/>
  <c r="B43" i="73"/>
  <c r="C41" i="73"/>
  <c r="E40" i="73"/>
  <c r="C41" i="72"/>
  <c r="A42" i="72"/>
  <c r="B43" i="72"/>
  <c r="E40" i="72"/>
  <c r="E40" i="71"/>
  <c r="C41" i="71"/>
  <c r="E41" i="71" s="1"/>
  <c r="A42" i="71"/>
  <c r="B43" i="71"/>
  <c r="E34" i="39"/>
  <c r="A36" i="39"/>
  <c r="C36" i="39" s="1"/>
  <c r="I40" i="71" l="1"/>
  <c r="J40" i="71" s="1"/>
  <c r="I41" i="76"/>
  <c r="J41" i="76" s="1"/>
  <c r="I40" i="73"/>
  <c r="J40" i="73" s="1"/>
  <c r="I40" i="75"/>
  <c r="J40" i="75" s="1"/>
  <c r="I34" i="39"/>
  <c r="J34" i="39" s="1"/>
  <c r="K34" i="39" s="1"/>
  <c r="C42" i="81"/>
  <c r="A43" i="81"/>
  <c r="B44" i="81"/>
  <c r="E41" i="81"/>
  <c r="I41" i="80"/>
  <c r="J41" i="80" s="1"/>
  <c r="C42" i="80"/>
  <c r="E42" i="80" s="1"/>
  <c r="A43" i="80"/>
  <c r="B44" i="80"/>
  <c r="A43" i="79"/>
  <c r="B44" i="79"/>
  <c r="I41" i="79"/>
  <c r="J41" i="79" s="1"/>
  <c r="C42" i="79"/>
  <c r="E42" i="79" s="1"/>
  <c r="I40" i="79"/>
  <c r="J40" i="79" s="1"/>
  <c r="A43" i="78"/>
  <c r="B44" i="78"/>
  <c r="C42" i="78"/>
  <c r="E42" i="78" s="1"/>
  <c r="I41" i="78"/>
  <c r="J41" i="78" s="1"/>
  <c r="I40" i="78"/>
  <c r="J40" i="78" s="1"/>
  <c r="A43" i="77"/>
  <c r="B44" i="77"/>
  <c r="C42" i="77"/>
  <c r="E42" i="77" s="1"/>
  <c r="I41" i="77"/>
  <c r="J41" i="77" s="1"/>
  <c r="I40" i="77"/>
  <c r="J40" i="77" s="1"/>
  <c r="E42" i="76"/>
  <c r="B44" i="76"/>
  <c r="A43" i="76"/>
  <c r="A43" i="75"/>
  <c r="B44" i="75"/>
  <c r="I41" i="75"/>
  <c r="J41" i="75" s="1"/>
  <c r="C42" i="75"/>
  <c r="C42" i="74"/>
  <c r="E41" i="74"/>
  <c r="A43" i="74"/>
  <c r="B44" i="74"/>
  <c r="A43" i="73"/>
  <c r="B44" i="73"/>
  <c r="C42" i="73"/>
  <c r="E42" i="73" s="1"/>
  <c r="E41" i="73"/>
  <c r="C42" i="72"/>
  <c r="A43" i="72"/>
  <c r="B44" i="72"/>
  <c r="I40" i="72"/>
  <c r="J40" i="72" s="1"/>
  <c r="E41" i="72"/>
  <c r="C42" i="71"/>
  <c r="A43" i="71"/>
  <c r="B44" i="71"/>
  <c r="I41" i="71"/>
  <c r="J41" i="71" s="1"/>
  <c r="E35" i="39"/>
  <c r="A37" i="39"/>
  <c r="C37" i="39" s="1"/>
  <c r="E36" i="39"/>
  <c r="C43" i="76" l="1"/>
  <c r="E43" i="76" s="1"/>
  <c r="I43" i="76" s="1"/>
  <c r="J43" i="76" s="1"/>
  <c r="I41" i="74"/>
  <c r="J41" i="74" s="1"/>
  <c r="I42" i="76"/>
  <c r="J42" i="76" s="1"/>
  <c r="I41" i="72"/>
  <c r="J41" i="72" s="1"/>
  <c r="I35" i="39"/>
  <c r="J35" i="39" s="1"/>
  <c r="K35" i="39" s="1"/>
  <c r="I36" i="39"/>
  <c r="J36" i="39" s="1"/>
  <c r="I41" i="81"/>
  <c r="J41" i="81" s="1"/>
  <c r="A44" i="81"/>
  <c r="B45" i="81"/>
  <c r="C43" i="81"/>
  <c r="E43" i="81" s="1"/>
  <c r="E42" i="81"/>
  <c r="A44" i="80"/>
  <c r="B45" i="80"/>
  <c r="C43" i="80"/>
  <c r="E43" i="80" s="1"/>
  <c r="I42" i="80"/>
  <c r="J42" i="80" s="1"/>
  <c r="C43" i="79"/>
  <c r="E43" i="79" s="1"/>
  <c r="I42" i="79"/>
  <c r="J42" i="79" s="1"/>
  <c r="A44" i="79"/>
  <c r="B45" i="79"/>
  <c r="A44" i="78"/>
  <c r="B45" i="78"/>
  <c r="I42" i="78"/>
  <c r="J42" i="78" s="1"/>
  <c r="C43" i="78"/>
  <c r="E43" i="78" s="1"/>
  <c r="A44" i="77"/>
  <c r="B45" i="77"/>
  <c r="C43" i="77"/>
  <c r="E43" i="77" s="1"/>
  <c r="I42" i="77"/>
  <c r="J42" i="77" s="1"/>
  <c r="A44" i="76"/>
  <c r="C44" i="76" s="1"/>
  <c r="B45" i="76"/>
  <c r="E42" i="75"/>
  <c r="C43" i="75"/>
  <c r="A44" i="75"/>
  <c r="B45" i="75"/>
  <c r="C43" i="74"/>
  <c r="E43" i="74" s="1"/>
  <c r="A44" i="74"/>
  <c r="B45" i="74"/>
  <c r="E42" i="74"/>
  <c r="I42" i="73"/>
  <c r="J42" i="73" s="1"/>
  <c r="I41" i="73"/>
  <c r="J41" i="73" s="1"/>
  <c r="A44" i="73"/>
  <c r="B45" i="73"/>
  <c r="C43" i="73"/>
  <c r="C43" i="72"/>
  <c r="E43" i="72" s="1"/>
  <c r="A44" i="72"/>
  <c r="B45" i="72"/>
  <c r="E42" i="72"/>
  <c r="E42" i="71"/>
  <c r="C43" i="71"/>
  <c r="A44" i="71"/>
  <c r="B45" i="71"/>
  <c r="E37" i="39"/>
  <c r="A38" i="39"/>
  <c r="C38" i="39" s="1"/>
  <c r="I42" i="81" l="1"/>
  <c r="J42" i="81" s="1"/>
  <c r="I42" i="74"/>
  <c r="J42" i="74" s="1"/>
  <c r="I37" i="39"/>
  <c r="J37" i="39" s="1"/>
  <c r="K36" i="39"/>
  <c r="C44" i="81"/>
  <c r="I43" i="81"/>
  <c r="J43" i="81" s="1"/>
  <c r="A45" i="81"/>
  <c r="B46" i="81"/>
  <c r="C44" i="80"/>
  <c r="E44" i="80" s="1"/>
  <c r="A45" i="80"/>
  <c r="B46" i="80"/>
  <c r="I43" i="80"/>
  <c r="J43" i="80" s="1"/>
  <c r="A45" i="79"/>
  <c r="B46" i="79"/>
  <c r="I43" i="79"/>
  <c r="J43" i="79" s="1"/>
  <c r="C44" i="79"/>
  <c r="C44" i="78"/>
  <c r="I43" i="78"/>
  <c r="J43" i="78" s="1"/>
  <c r="A45" i="78"/>
  <c r="B46" i="78"/>
  <c r="C44" i="77"/>
  <c r="E44" i="77" s="1"/>
  <c r="A45" i="77"/>
  <c r="B46" i="77"/>
  <c r="I43" i="77"/>
  <c r="J43" i="77" s="1"/>
  <c r="B46" i="76"/>
  <c r="A45" i="76"/>
  <c r="C45" i="76" s="1"/>
  <c r="E44" i="76"/>
  <c r="A45" i="75"/>
  <c r="B46" i="75"/>
  <c r="C44" i="75"/>
  <c r="E43" i="75"/>
  <c r="I42" i="75"/>
  <c r="J42" i="75" s="1"/>
  <c r="A45" i="74"/>
  <c r="B46" i="74"/>
  <c r="C44" i="74"/>
  <c r="I43" i="74"/>
  <c r="J43" i="74" s="1"/>
  <c r="A45" i="73"/>
  <c r="B46" i="73"/>
  <c r="E43" i="73"/>
  <c r="C44" i="73"/>
  <c r="E44" i="73" s="1"/>
  <c r="I42" i="72"/>
  <c r="J42" i="72" s="1"/>
  <c r="A45" i="72"/>
  <c r="B46" i="72"/>
  <c r="C44" i="72"/>
  <c r="I43" i="72"/>
  <c r="J43" i="72" s="1"/>
  <c r="A45" i="71"/>
  <c r="B46" i="71"/>
  <c r="C44" i="71"/>
  <c r="E43" i="71"/>
  <c r="I42" i="71"/>
  <c r="J42" i="71" s="1"/>
  <c r="A39" i="39"/>
  <c r="C39" i="39" s="1"/>
  <c r="E38" i="39"/>
  <c r="I43" i="73" l="1"/>
  <c r="J43" i="73" s="1"/>
  <c r="K37" i="39"/>
  <c r="I38" i="39"/>
  <c r="J38" i="39" s="1"/>
  <c r="A46" i="81"/>
  <c r="B47" i="81"/>
  <c r="E44" i="81"/>
  <c r="C45" i="81"/>
  <c r="A46" i="80"/>
  <c r="B47" i="80"/>
  <c r="I44" i="80"/>
  <c r="J44" i="80" s="1"/>
  <c r="C45" i="80"/>
  <c r="E45" i="80" s="1"/>
  <c r="A46" i="79"/>
  <c r="B47" i="79"/>
  <c r="C45" i="79"/>
  <c r="E45" i="79" s="1"/>
  <c r="E44" i="79"/>
  <c r="A46" i="78"/>
  <c r="B47" i="78"/>
  <c r="C45" i="78"/>
  <c r="E45" i="78" s="1"/>
  <c r="E44" i="78"/>
  <c r="I44" i="77"/>
  <c r="J44" i="77" s="1"/>
  <c r="A46" i="77"/>
  <c r="B47" i="77"/>
  <c r="C45" i="77"/>
  <c r="I44" i="76"/>
  <c r="J44" i="76" s="1"/>
  <c r="E45" i="76"/>
  <c r="A46" i="76"/>
  <c r="C46" i="76" s="1"/>
  <c r="B47" i="76"/>
  <c r="A46" i="75"/>
  <c r="B47" i="75"/>
  <c r="C45" i="75"/>
  <c r="E45" i="75" s="1"/>
  <c r="E44" i="75"/>
  <c r="I43" i="75"/>
  <c r="J43" i="75" s="1"/>
  <c r="E44" i="74"/>
  <c r="A46" i="74"/>
  <c r="B47" i="74"/>
  <c r="C45" i="74"/>
  <c r="E45" i="74" s="1"/>
  <c r="A46" i="73"/>
  <c r="B47" i="73"/>
  <c r="C45" i="73"/>
  <c r="E45" i="73" s="1"/>
  <c r="I44" i="73"/>
  <c r="J44" i="73" s="1"/>
  <c r="E44" i="72"/>
  <c r="A46" i="72"/>
  <c r="B47" i="72"/>
  <c r="C45" i="72"/>
  <c r="A46" i="71"/>
  <c r="B47" i="71"/>
  <c r="C45" i="71"/>
  <c r="E44" i="71"/>
  <c r="I43" i="71"/>
  <c r="J43" i="71" s="1"/>
  <c r="E39" i="39"/>
  <c r="A40" i="39"/>
  <c r="C40" i="39" s="1"/>
  <c r="I44" i="79" l="1"/>
  <c r="J44" i="79" s="1"/>
  <c r="I44" i="81"/>
  <c r="J44" i="81" s="1"/>
  <c r="I39" i="39"/>
  <c r="J39" i="39" s="1"/>
  <c r="K38" i="39"/>
  <c r="E45" i="81"/>
  <c r="A47" i="81"/>
  <c r="B48" i="81"/>
  <c r="C46" i="81"/>
  <c r="I45" i="80"/>
  <c r="J45" i="80" s="1"/>
  <c r="A47" i="80"/>
  <c r="B48" i="80"/>
  <c r="C46" i="80"/>
  <c r="A47" i="79"/>
  <c r="B48" i="79"/>
  <c r="C46" i="79"/>
  <c r="I45" i="79"/>
  <c r="J45" i="79" s="1"/>
  <c r="A47" i="78"/>
  <c r="B48" i="78"/>
  <c r="C46" i="78"/>
  <c r="I44" i="78"/>
  <c r="J44" i="78" s="1"/>
  <c r="I45" i="78"/>
  <c r="J45" i="78" s="1"/>
  <c r="C46" i="77"/>
  <c r="E46" i="77" s="1"/>
  <c r="E45" i="77"/>
  <c r="A47" i="77"/>
  <c r="B48" i="77"/>
  <c r="E46" i="76"/>
  <c r="I45" i="76"/>
  <c r="J45" i="76" s="1"/>
  <c r="A47" i="76"/>
  <c r="C47" i="76" s="1"/>
  <c r="B48" i="76"/>
  <c r="I44" i="75"/>
  <c r="J44" i="75" s="1"/>
  <c r="C46" i="75"/>
  <c r="E46" i="75" s="1"/>
  <c r="A47" i="75"/>
  <c r="B48" i="75"/>
  <c r="I45" i="75"/>
  <c r="J45" i="75" s="1"/>
  <c r="C46" i="74"/>
  <c r="I45" i="74"/>
  <c r="J45" i="74" s="1"/>
  <c r="I44" i="74"/>
  <c r="J44" i="74" s="1"/>
  <c r="A47" i="74"/>
  <c r="B48" i="74"/>
  <c r="A47" i="73"/>
  <c r="B48" i="73"/>
  <c r="C46" i="73"/>
  <c r="E46" i="73" s="1"/>
  <c r="I45" i="73"/>
  <c r="J45" i="73" s="1"/>
  <c r="C46" i="72"/>
  <c r="E45" i="72"/>
  <c r="I44" i="72"/>
  <c r="J44" i="72" s="1"/>
  <c r="A47" i="72"/>
  <c r="B48" i="72"/>
  <c r="A47" i="71"/>
  <c r="B48" i="71"/>
  <c r="B49" i="71" s="1"/>
  <c r="B50" i="71" s="1"/>
  <c r="I44" i="71"/>
  <c r="J44" i="71" s="1"/>
  <c r="C46" i="71"/>
  <c r="E45" i="71"/>
  <c r="A41" i="39"/>
  <c r="C41" i="39" s="1"/>
  <c r="E40" i="39"/>
  <c r="I45" i="71" l="1"/>
  <c r="J45" i="71" s="1"/>
  <c r="I46" i="76"/>
  <c r="J46" i="76" s="1"/>
  <c r="I45" i="72"/>
  <c r="J45" i="72" s="1"/>
  <c r="I45" i="77"/>
  <c r="J45" i="77" s="1"/>
  <c r="I40" i="39"/>
  <c r="J40" i="39" s="1"/>
  <c r="K39" i="39"/>
  <c r="A48" i="81"/>
  <c r="B49" i="81"/>
  <c r="C47" i="81"/>
  <c r="E47" i="81" s="1"/>
  <c r="E46" i="81"/>
  <c r="I45" i="81"/>
  <c r="J45" i="81" s="1"/>
  <c r="B49" i="80"/>
  <c r="A48" i="80"/>
  <c r="C47" i="80"/>
  <c r="E46" i="80"/>
  <c r="A48" i="79"/>
  <c r="B49" i="79"/>
  <c r="C47" i="79"/>
  <c r="E47" i="79" s="1"/>
  <c r="E46" i="79"/>
  <c r="A48" i="78"/>
  <c r="B49" i="78"/>
  <c r="C47" i="78"/>
  <c r="E47" i="78" s="1"/>
  <c r="E46" i="78"/>
  <c r="C47" i="77"/>
  <c r="E47" i="77" s="1"/>
  <c r="A48" i="77"/>
  <c r="B49" i="77"/>
  <c r="I46" i="77"/>
  <c r="J46" i="77" s="1"/>
  <c r="A48" i="76"/>
  <c r="C48" i="76" s="1"/>
  <c r="B49" i="76"/>
  <c r="E47" i="76"/>
  <c r="C47" i="75"/>
  <c r="E47" i="75" s="1"/>
  <c r="A48" i="75"/>
  <c r="B49" i="75"/>
  <c r="I46" i="75"/>
  <c r="J46" i="75" s="1"/>
  <c r="A48" i="74"/>
  <c r="B49" i="74"/>
  <c r="E46" i="74"/>
  <c r="C47" i="74"/>
  <c r="E47" i="74" s="1"/>
  <c r="A48" i="73"/>
  <c r="B49" i="73"/>
  <c r="C47" i="73"/>
  <c r="I46" i="73"/>
  <c r="J46" i="73" s="1"/>
  <c r="C47" i="72"/>
  <c r="E47" i="72" s="1"/>
  <c r="A48" i="72"/>
  <c r="B49" i="72"/>
  <c r="E46" i="72"/>
  <c r="A48" i="71"/>
  <c r="E46" i="71"/>
  <c r="C47" i="71"/>
  <c r="E47" i="71" s="1"/>
  <c r="A42" i="39"/>
  <c r="C42" i="39" s="1"/>
  <c r="I46" i="78" l="1"/>
  <c r="J46" i="78" s="1"/>
  <c r="I46" i="71"/>
  <c r="J46" i="71" s="1"/>
  <c r="I46" i="74"/>
  <c r="J46" i="74" s="1"/>
  <c r="I46" i="79"/>
  <c r="J46" i="79" s="1"/>
  <c r="K40" i="39"/>
  <c r="I46" i="81"/>
  <c r="J46" i="81" s="1"/>
  <c r="I47" i="81"/>
  <c r="J47" i="81" s="1"/>
  <c r="A49" i="81"/>
  <c r="B50" i="81"/>
  <c r="C48" i="81"/>
  <c r="E48" i="81" s="1"/>
  <c r="C48" i="80"/>
  <c r="I46" i="80"/>
  <c r="J46" i="80" s="1"/>
  <c r="A49" i="80"/>
  <c r="B50" i="80"/>
  <c r="E47" i="80"/>
  <c r="A49" i="79"/>
  <c r="B50" i="79"/>
  <c r="I47" i="79"/>
  <c r="J47" i="79" s="1"/>
  <c r="C48" i="79"/>
  <c r="A49" i="78"/>
  <c r="B50" i="78"/>
  <c r="C48" i="78"/>
  <c r="I47" i="78"/>
  <c r="J47" i="78" s="1"/>
  <c r="C48" i="77"/>
  <c r="I47" i="77"/>
  <c r="J47" i="77" s="1"/>
  <c r="A49" i="77"/>
  <c r="B50" i="77"/>
  <c r="A49" i="76"/>
  <c r="C49" i="76" s="1"/>
  <c r="B50" i="76"/>
  <c r="E48" i="76"/>
  <c r="I47" i="76"/>
  <c r="J47" i="76" s="1"/>
  <c r="I47" i="75"/>
  <c r="J47" i="75" s="1"/>
  <c r="A49" i="75"/>
  <c r="B50" i="75"/>
  <c r="C48" i="75"/>
  <c r="A49" i="74"/>
  <c r="B50" i="74"/>
  <c r="I47" i="74"/>
  <c r="J47" i="74" s="1"/>
  <c r="C48" i="74"/>
  <c r="A49" i="73"/>
  <c r="B50" i="73"/>
  <c r="C48" i="73"/>
  <c r="E47" i="73"/>
  <c r="C48" i="72"/>
  <c r="I47" i="72"/>
  <c r="J47" i="72" s="1"/>
  <c r="I46" i="72"/>
  <c r="J46" i="72" s="1"/>
  <c r="A49" i="72"/>
  <c r="B50" i="72"/>
  <c r="C48" i="71"/>
  <c r="E48" i="71" s="1"/>
  <c r="A49" i="71"/>
  <c r="I47" i="71"/>
  <c r="J47" i="71" s="1"/>
  <c r="E41" i="39"/>
  <c r="A43" i="39"/>
  <c r="C43" i="39" s="1"/>
  <c r="E42" i="39"/>
  <c r="I48" i="76" l="1"/>
  <c r="J48" i="76" s="1"/>
  <c r="I42" i="39"/>
  <c r="J42" i="39" s="1"/>
  <c r="I41" i="39"/>
  <c r="J41" i="39" s="1"/>
  <c r="K41" i="39" s="1"/>
  <c r="A50" i="81"/>
  <c r="B51" i="81"/>
  <c r="C49" i="81"/>
  <c r="E49" i="81" s="1"/>
  <c r="I48" i="81"/>
  <c r="J48" i="81" s="1"/>
  <c r="A50" i="80"/>
  <c r="B51" i="80"/>
  <c r="C49" i="80"/>
  <c r="E49" i="80" s="1"/>
  <c r="E48" i="80"/>
  <c r="I47" i="80"/>
  <c r="J47" i="80" s="1"/>
  <c r="C49" i="79"/>
  <c r="E49" i="79" s="1"/>
  <c r="E48" i="79"/>
  <c r="A50" i="79"/>
  <c r="B51" i="79"/>
  <c r="A50" i="78"/>
  <c r="B51" i="78"/>
  <c r="C49" i="78"/>
  <c r="E48" i="78"/>
  <c r="A50" i="77"/>
  <c r="B51" i="77"/>
  <c r="C49" i="77"/>
  <c r="E49" i="77" s="1"/>
  <c r="E48" i="77"/>
  <c r="A50" i="76"/>
  <c r="C50" i="76" s="1"/>
  <c r="B51" i="76"/>
  <c r="E49" i="76"/>
  <c r="A50" i="75"/>
  <c r="B51" i="75"/>
  <c r="C49" i="75"/>
  <c r="E49" i="75" s="1"/>
  <c r="E48" i="75"/>
  <c r="A50" i="74"/>
  <c r="B51" i="74"/>
  <c r="C49" i="74"/>
  <c r="E49" i="74" s="1"/>
  <c r="E48" i="74"/>
  <c r="E48" i="73"/>
  <c r="A50" i="73"/>
  <c r="B51" i="73"/>
  <c r="C49" i="73"/>
  <c r="I47" i="73"/>
  <c r="J47" i="73" s="1"/>
  <c r="E48" i="72"/>
  <c r="C49" i="72"/>
  <c r="E49" i="72" s="1"/>
  <c r="A50" i="72"/>
  <c r="B51" i="72"/>
  <c r="A50" i="71"/>
  <c r="B51" i="71"/>
  <c r="I48" i="71"/>
  <c r="J48" i="71" s="1"/>
  <c r="C49" i="71"/>
  <c r="A44" i="39"/>
  <c r="C44" i="39" s="1"/>
  <c r="I48" i="75" l="1"/>
  <c r="J48" i="75" s="1"/>
  <c r="I49" i="76"/>
  <c r="J49" i="76" s="1"/>
  <c r="I48" i="79"/>
  <c r="J48" i="79" s="1"/>
  <c r="I48" i="77"/>
  <c r="J48" i="77" s="1"/>
  <c r="I48" i="78"/>
  <c r="J48" i="78" s="1"/>
  <c r="K42" i="39"/>
  <c r="A51" i="81"/>
  <c r="B52" i="81"/>
  <c r="A52" i="81" s="1"/>
  <c r="C50" i="81"/>
  <c r="I49" i="81"/>
  <c r="J49" i="81" s="1"/>
  <c r="A51" i="80"/>
  <c r="B52" i="80"/>
  <c r="A52" i="80" s="1"/>
  <c r="C50" i="80"/>
  <c r="I48" i="80"/>
  <c r="J48" i="80" s="1"/>
  <c r="I49" i="80"/>
  <c r="J49" i="80" s="1"/>
  <c r="C50" i="79"/>
  <c r="A51" i="79"/>
  <c r="B52" i="79"/>
  <c r="A52" i="79" s="1"/>
  <c r="I49" i="79"/>
  <c r="J49" i="79" s="1"/>
  <c r="A51" i="78"/>
  <c r="B52" i="78"/>
  <c r="A52" i="78" s="1"/>
  <c r="E49" i="78"/>
  <c r="C50" i="78"/>
  <c r="I49" i="77"/>
  <c r="J49" i="77" s="1"/>
  <c r="A51" i="77"/>
  <c r="B52" i="77"/>
  <c r="A52" i="77" s="1"/>
  <c r="C50" i="77"/>
  <c r="E50" i="77" s="1"/>
  <c r="E50" i="76"/>
  <c r="A51" i="76"/>
  <c r="B52" i="76"/>
  <c r="A52" i="76" s="1"/>
  <c r="C52" i="76" s="1"/>
  <c r="I49" i="75"/>
  <c r="J49" i="75" s="1"/>
  <c r="A51" i="75"/>
  <c r="B52" i="75"/>
  <c r="A52" i="75" s="1"/>
  <c r="C50" i="75"/>
  <c r="I48" i="74"/>
  <c r="J48" i="74" s="1"/>
  <c r="A51" i="74"/>
  <c r="B52" i="74"/>
  <c r="A52" i="74" s="1"/>
  <c r="I49" i="74"/>
  <c r="J49" i="74" s="1"/>
  <c r="C50" i="74"/>
  <c r="E50" i="74" s="1"/>
  <c r="C50" i="73"/>
  <c r="E50" i="73" s="1"/>
  <c r="E49" i="73"/>
  <c r="A51" i="73"/>
  <c r="B52" i="73"/>
  <c r="A52" i="73" s="1"/>
  <c r="I48" i="73"/>
  <c r="J48" i="73" s="1"/>
  <c r="A51" i="72"/>
  <c r="B52" i="72"/>
  <c r="A52" i="72" s="1"/>
  <c r="C50" i="72"/>
  <c r="I48" i="72"/>
  <c r="J48" i="72" s="1"/>
  <c r="I49" i="72"/>
  <c r="J49" i="72" s="1"/>
  <c r="E49" i="71"/>
  <c r="A51" i="71"/>
  <c r="B52" i="71"/>
  <c r="A52" i="71" s="1"/>
  <c r="C50" i="71"/>
  <c r="E43" i="39"/>
  <c r="E44" i="39"/>
  <c r="A45" i="39"/>
  <c r="C45" i="39" s="1"/>
  <c r="C51" i="76" l="1"/>
  <c r="E51" i="76" s="1"/>
  <c r="I51" i="76" s="1"/>
  <c r="J51" i="76" s="1"/>
  <c r="I50" i="76"/>
  <c r="J50" i="76" s="1"/>
  <c r="I49" i="73"/>
  <c r="J49" i="73" s="1"/>
  <c r="I44" i="39"/>
  <c r="J44" i="39" s="1"/>
  <c r="I43" i="39"/>
  <c r="J43" i="39" s="1"/>
  <c r="K43" i="39" s="1"/>
  <c r="C52" i="81"/>
  <c r="C51" i="81"/>
  <c r="E50" i="81"/>
  <c r="C51" i="80"/>
  <c r="E51" i="80" s="1"/>
  <c r="C52" i="80"/>
  <c r="E50" i="80"/>
  <c r="C52" i="79"/>
  <c r="C51" i="79"/>
  <c r="E50" i="79"/>
  <c r="C51" i="78"/>
  <c r="E50" i="78"/>
  <c r="C52" i="78"/>
  <c r="I49" i="78"/>
  <c r="J49" i="78" s="1"/>
  <c r="I50" i="77"/>
  <c r="J50" i="77" s="1"/>
  <c r="C51" i="77"/>
  <c r="E51" i="77" s="1"/>
  <c r="C52" i="77"/>
  <c r="E52" i="76"/>
  <c r="C51" i="75"/>
  <c r="E50" i="75"/>
  <c r="C52" i="75"/>
  <c r="E52" i="75" s="1"/>
  <c r="C52" i="74"/>
  <c r="I50" i="74"/>
  <c r="J50" i="74" s="1"/>
  <c r="C51" i="74"/>
  <c r="E51" i="74" s="1"/>
  <c r="C52" i="73"/>
  <c r="C51" i="73"/>
  <c r="E51" i="73" s="1"/>
  <c r="I50" i="73"/>
  <c r="J50" i="73" s="1"/>
  <c r="C52" i="72"/>
  <c r="E52" i="72" s="1"/>
  <c r="C51" i="72"/>
  <c r="E51" i="72" s="1"/>
  <c r="E50" i="72"/>
  <c r="C51" i="71"/>
  <c r="E51" i="71" s="1"/>
  <c r="C52" i="71"/>
  <c r="E52" i="71" s="1"/>
  <c r="E50" i="71"/>
  <c r="I49" i="71"/>
  <c r="J49" i="71" s="1"/>
  <c r="A46" i="39"/>
  <c r="C46" i="39" s="1"/>
  <c r="I50" i="71" l="1"/>
  <c r="J50" i="71" s="1"/>
  <c r="I50" i="72"/>
  <c r="J50" i="72" s="1"/>
  <c r="I52" i="76"/>
  <c r="I54" i="76" s="1"/>
  <c r="I50" i="78"/>
  <c r="J50" i="78" s="1"/>
  <c r="K44" i="39"/>
  <c r="I50" i="81"/>
  <c r="J50" i="81" s="1"/>
  <c r="E52" i="81"/>
  <c r="E51" i="81"/>
  <c r="I50" i="80"/>
  <c r="J50" i="80" s="1"/>
  <c r="I51" i="80"/>
  <c r="J51" i="80" s="1"/>
  <c r="E52" i="80"/>
  <c r="I50" i="79"/>
  <c r="J50" i="79" s="1"/>
  <c r="E52" i="79"/>
  <c r="E51" i="79"/>
  <c r="E51" i="78"/>
  <c r="E52" i="78"/>
  <c r="I51" i="77"/>
  <c r="J51" i="77" s="1"/>
  <c r="E52" i="77"/>
  <c r="E54" i="76"/>
  <c r="I52" i="75"/>
  <c r="J52" i="75" s="1"/>
  <c r="E51" i="75"/>
  <c r="I50" i="75"/>
  <c r="J50" i="75" s="1"/>
  <c r="E52" i="74"/>
  <c r="I51" i="74"/>
  <c r="J51" i="74" s="1"/>
  <c r="E52" i="73"/>
  <c r="I51" i="73"/>
  <c r="J51" i="73" s="1"/>
  <c r="E54" i="72"/>
  <c r="I52" i="72"/>
  <c r="J52" i="72" s="1"/>
  <c r="I51" i="72"/>
  <c r="J51" i="72" s="1"/>
  <c r="E54" i="71"/>
  <c r="I52" i="71"/>
  <c r="J52" i="71" s="1"/>
  <c r="I51" i="71"/>
  <c r="J51" i="71" s="1"/>
  <c r="E45" i="39"/>
  <c r="E46" i="39"/>
  <c r="A47" i="39"/>
  <c r="C47" i="39" s="1"/>
  <c r="I52" i="81" l="1"/>
  <c r="J52" i="81" s="1"/>
  <c r="I51" i="75"/>
  <c r="J51" i="75" s="1"/>
  <c r="I52" i="77"/>
  <c r="I54" i="77" s="1"/>
  <c r="J52" i="76"/>
  <c r="J54" i="76" s="1"/>
  <c r="I52" i="78"/>
  <c r="J52" i="78" s="1"/>
  <c r="J54" i="71"/>
  <c r="I45" i="39"/>
  <c r="J45" i="39" s="1"/>
  <c r="K45" i="39" s="1"/>
  <c r="I46" i="39"/>
  <c r="J46" i="39" s="1"/>
  <c r="E54" i="81"/>
  <c r="I51" i="81"/>
  <c r="J51" i="81" s="1"/>
  <c r="E54" i="80"/>
  <c r="I52" i="80"/>
  <c r="I54" i="80" s="1"/>
  <c r="E54" i="79"/>
  <c r="I52" i="79"/>
  <c r="J52" i="79" s="1"/>
  <c r="I51" i="79"/>
  <c r="J51" i="79" s="1"/>
  <c r="I51" i="78"/>
  <c r="E54" i="78"/>
  <c r="E54" i="77"/>
  <c r="E54" i="75"/>
  <c r="E54" i="74"/>
  <c r="I52" i="74"/>
  <c r="I54" i="74" s="1"/>
  <c r="E54" i="73"/>
  <c r="I52" i="73"/>
  <c r="I54" i="73" s="1"/>
  <c r="I54" i="72"/>
  <c r="J54" i="72"/>
  <c r="I54" i="71"/>
  <c r="A48" i="39"/>
  <c r="C48" i="39" s="1"/>
  <c r="I54" i="78" l="1"/>
  <c r="I54" i="75"/>
  <c r="J52" i="77"/>
  <c r="J54" i="77" s="1"/>
  <c r="J52" i="80"/>
  <c r="J52" i="73"/>
  <c r="I54" i="81"/>
  <c r="J52" i="74"/>
  <c r="J54" i="74" s="1"/>
  <c r="J51" i="78"/>
  <c r="J54" i="78" s="1"/>
  <c r="K46" i="39"/>
  <c r="J54" i="79"/>
  <c r="I54" i="79"/>
  <c r="J54" i="75"/>
  <c r="E47" i="39"/>
  <c r="E48" i="39"/>
  <c r="A49" i="39"/>
  <c r="C49" i="39" s="1"/>
  <c r="I47" i="39" l="1"/>
  <c r="J47" i="39" s="1"/>
  <c r="K47" i="39" s="1"/>
  <c r="I48" i="39"/>
  <c r="J48" i="39" s="1"/>
  <c r="J54" i="81"/>
  <c r="J54" i="80"/>
  <c r="J54" i="73"/>
  <c r="A50" i="39"/>
  <c r="C50" i="39" s="1"/>
  <c r="E49" i="39"/>
  <c r="K48" i="39" l="1"/>
  <c r="I49" i="39"/>
  <c r="J49" i="39" s="1"/>
  <c r="E50" i="39"/>
  <c r="A51" i="39"/>
  <c r="C51" i="39" s="1"/>
  <c r="I50" i="39" l="1"/>
  <c r="J50" i="39" s="1"/>
  <c r="K49" i="39"/>
  <c r="A52" i="39"/>
  <c r="C52" i="39" s="1"/>
  <c r="E51" i="39"/>
  <c r="K50" i="39" l="1"/>
  <c r="I51" i="39"/>
  <c r="J51" i="39" s="1"/>
  <c r="E52" i="39"/>
  <c r="K51" i="39" l="1"/>
  <c r="I52" i="39"/>
  <c r="J52" i="39" s="1"/>
  <c r="E54" i="39"/>
  <c r="I54" i="39" l="1"/>
  <c r="K55" i="39" s="1"/>
  <c r="K52" i="39"/>
  <c r="J54" i="39"/>
  <c r="K54" i="39" l="1"/>
  <c r="M7" i="71" s="1"/>
  <c r="K22" i="71" s="1"/>
  <c r="K23" i="71" s="1"/>
  <c r="K24" i="71" s="1"/>
  <c r="K25" i="71" s="1"/>
  <c r="K26" i="71" s="1"/>
  <c r="K27" i="71" s="1"/>
  <c r="K28" i="71" s="1"/>
  <c r="K29" i="71" s="1"/>
  <c r="K30" i="71" s="1"/>
  <c r="K31" i="71" s="1"/>
  <c r="K32" i="71" s="1"/>
  <c r="K33" i="71" s="1"/>
  <c r="K34" i="71" s="1"/>
  <c r="K35" i="71" s="1"/>
  <c r="K36" i="71" s="1"/>
  <c r="K37" i="71" s="1"/>
  <c r="K38" i="71" s="1"/>
  <c r="K39" i="71" s="1"/>
  <c r="K40" i="71" s="1"/>
  <c r="K41" i="71" s="1"/>
  <c r="K42" i="71" s="1"/>
  <c r="K43" i="71" s="1"/>
  <c r="K44" i="71" s="1"/>
  <c r="K45" i="71" s="1"/>
  <c r="K46" i="71" s="1"/>
  <c r="K47" i="71" s="1"/>
  <c r="K48" i="71" s="1"/>
  <c r="K49" i="71" s="1"/>
  <c r="K50" i="71" s="1"/>
  <c r="K51" i="71" s="1"/>
  <c r="K52" i="71" s="1"/>
  <c r="K54" i="71" l="1"/>
  <c r="M7" i="72" s="1"/>
  <c r="K22" i="72" s="1"/>
  <c r="K23" i="72" s="1"/>
  <c r="K24" i="72" s="1"/>
  <c r="K25" i="72" s="1"/>
  <c r="K26" i="72" s="1"/>
  <c r="K27" i="72" s="1"/>
  <c r="K28" i="72" s="1"/>
  <c r="K29" i="72" s="1"/>
  <c r="K30" i="72" s="1"/>
  <c r="K31" i="72" s="1"/>
  <c r="K32" i="72" s="1"/>
  <c r="K33" i="72" s="1"/>
  <c r="K34" i="72" s="1"/>
  <c r="K35" i="72" s="1"/>
  <c r="K36" i="72" s="1"/>
  <c r="K37" i="72" s="1"/>
  <c r="K38" i="72" s="1"/>
  <c r="K39" i="72" s="1"/>
  <c r="K40" i="72" s="1"/>
  <c r="K41" i="72" s="1"/>
  <c r="K42" i="72" s="1"/>
  <c r="K43" i="72" s="1"/>
  <c r="K44" i="72" s="1"/>
  <c r="K45" i="72" s="1"/>
  <c r="K46" i="72" s="1"/>
  <c r="K47" i="72" s="1"/>
  <c r="K48" i="72" s="1"/>
  <c r="K49" i="72" s="1"/>
  <c r="K50" i="72" s="1"/>
  <c r="K51" i="72" s="1"/>
  <c r="K52" i="72" s="1"/>
  <c r="K55" i="71"/>
  <c r="K54" i="72" l="1"/>
  <c r="M7" i="73" s="1"/>
  <c r="K22" i="73" s="1"/>
  <c r="K23" i="73" s="1"/>
  <c r="K24" i="73" s="1"/>
  <c r="K25" i="73" s="1"/>
  <c r="K26" i="73" s="1"/>
  <c r="K27" i="73" s="1"/>
  <c r="K28" i="73" s="1"/>
  <c r="K29" i="73" s="1"/>
  <c r="K30" i="73" s="1"/>
  <c r="K31" i="73" s="1"/>
  <c r="K32" i="73" s="1"/>
  <c r="K33" i="73" s="1"/>
  <c r="K34" i="73" s="1"/>
  <c r="K35" i="73" s="1"/>
  <c r="K36" i="73" s="1"/>
  <c r="K37" i="73" s="1"/>
  <c r="K38" i="73" s="1"/>
  <c r="K39" i="73" s="1"/>
  <c r="K40" i="73" s="1"/>
  <c r="K41" i="73" s="1"/>
  <c r="K42" i="73" s="1"/>
  <c r="K43" i="73" s="1"/>
  <c r="K44" i="73" s="1"/>
  <c r="K45" i="73" s="1"/>
  <c r="K46" i="73" s="1"/>
  <c r="K47" i="73" s="1"/>
  <c r="K48" i="73" s="1"/>
  <c r="K49" i="73" s="1"/>
  <c r="K50" i="73" s="1"/>
  <c r="K51" i="73" s="1"/>
  <c r="K52" i="73" s="1"/>
  <c r="K55" i="72"/>
  <c r="K54" i="73" l="1"/>
  <c r="M7" i="74" s="1"/>
  <c r="K22" i="74" s="1"/>
  <c r="K23" i="74" s="1"/>
  <c r="K24" i="74" s="1"/>
  <c r="K25" i="74" s="1"/>
  <c r="K26" i="74" s="1"/>
  <c r="K27" i="74" s="1"/>
  <c r="K28" i="74" s="1"/>
  <c r="K29" i="74" s="1"/>
  <c r="K30" i="74" s="1"/>
  <c r="K31" i="74" s="1"/>
  <c r="K32" i="74" s="1"/>
  <c r="K33" i="74" s="1"/>
  <c r="K34" i="74" s="1"/>
  <c r="K35" i="74" s="1"/>
  <c r="K36" i="74" s="1"/>
  <c r="K37" i="74" s="1"/>
  <c r="K38" i="74" s="1"/>
  <c r="K39" i="74" s="1"/>
  <c r="K40" i="74" s="1"/>
  <c r="K41" i="74" s="1"/>
  <c r="K42" i="74" s="1"/>
  <c r="K43" i="74" s="1"/>
  <c r="K44" i="74" s="1"/>
  <c r="K45" i="74" s="1"/>
  <c r="K46" i="74" s="1"/>
  <c r="K47" i="74" s="1"/>
  <c r="K48" i="74" s="1"/>
  <c r="K49" i="74" s="1"/>
  <c r="K50" i="74" s="1"/>
  <c r="K51" i="74" s="1"/>
  <c r="K52" i="74" s="1"/>
  <c r="K55" i="73"/>
  <c r="K54" i="74" l="1"/>
  <c r="M7" i="75" s="1"/>
  <c r="K22" i="75" s="1"/>
  <c r="K23" i="75" s="1"/>
  <c r="K24" i="75" s="1"/>
  <c r="K25" i="75" s="1"/>
  <c r="K26" i="75" s="1"/>
  <c r="K27" i="75" s="1"/>
  <c r="K28" i="75" s="1"/>
  <c r="K29" i="75" s="1"/>
  <c r="K30" i="75" s="1"/>
  <c r="K31" i="75" s="1"/>
  <c r="K32" i="75" s="1"/>
  <c r="K33" i="75" s="1"/>
  <c r="K34" i="75" s="1"/>
  <c r="K35" i="75" s="1"/>
  <c r="K36" i="75" s="1"/>
  <c r="K37" i="75" s="1"/>
  <c r="K38" i="75" s="1"/>
  <c r="K39" i="75" s="1"/>
  <c r="K40" i="75" s="1"/>
  <c r="K41" i="75" s="1"/>
  <c r="K42" i="75" s="1"/>
  <c r="K43" i="75" s="1"/>
  <c r="K44" i="75" s="1"/>
  <c r="K45" i="75" s="1"/>
  <c r="K46" i="75" s="1"/>
  <c r="K47" i="75" s="1"/>
  <c r="K48" i="75" s="1"/>
  <c r="K49" i="75" s="1"/>
  <c r="K50" i="75" s="1"/>
  <c r="K51" i="75" s="1"/>
  <c r="K52" i="75" s="1"/>
  <c r="K55" i="74"/>
  <c r="K54" i="75" l="1"/>
  <c r="M7" i="76" s="1"/>
  <c r="K22" i="76" s="1"/>
  <c r="K23" i="76" s="1"/>
  <c r="K24" i="76" s="1"/>
  <c r="K25" i="76" s="1"/>
  <c r="K26" i="76" s="1"/>
  <c r="K27" i="76" s="1"/>
  <c r="K28" i="76" s="1"/>
  <c r="K29" i="76" s="1"/>
  <c r="K30" i="76" s="1"/>
  <c r="K31" i="76" s="1"/>
  <c r="K32" i="76" s="1"/>
  <c r="K33" i="76" s="1"/>
  <c r="K34" i="76" s="1"/>
  <c r="K35" i="76" s="1"/>
  <c r="K36" i="76" s="1"/>
  <c r="K37" i="76" s="1"/>
  <c r="K38" i="76" s="1"/>
  <c r="K39" i="76" s="1"/>
  <c r="K40" i="76" s="1"/>
  <c r="K41" i="76" s="1"/>
  <c r="K42" i="76" s="1"/>
  <c r="K43" i="76" s="1"/>
  <c r="K44" i="76" s="1"/>
  <c r="K45" i="76" s="1"/>
  <c r="K46" i="76" s="1"/>
  <c r="K47" i="76" s="1"/>
  <c r="K48" i="76" s="1"/>
  <c r="K49" i="76" s="1"/>
  <c r="K50" i="76" s="1"/>
  <c r="K51" i="76" s="1"/>
  <c r="K52" i="76" s="1"/>
  <c r="K55" i="75"/>
  <c r="K54" i="76" l="1"/>
  <c r="M7" i="77" s="1"/>
  <c r="K22" i="77" s="1"/>
  <c r="K23" i="77" s="1"/>
  <c r="K24" i="77" s="1"/>
  <c r="K25" i="77" s="1"/>
  <c r="K26" i="77" s="1"/>
  <c r="K27" i="77" s="1"/>
  <c r="K28" i="77" s="1"/>
  <c r="K29" i="77" s="1"/>
  <c r="K30" i="77" s="1"/>
  <c r="K31" i="77" s="1"/>
  <c r="K32" i="77" s="1"/>
  <c r="K33" i="77" s="1"/>
  <c r="K34" i="77" s="1"/>
  <c r="K35" i="77" s="1"/>
  <c r="K36" i="77" s="1"/>
  <c r="K37" i="77" s="1"/>
  <c r="K38" i="77" s="1"/>
  <c r="K39" i="77" s="1"/>
  <c r="K40" i="77" s="1"/>
  <c r="K41" i="77" s="1"/>
  <c r="K42" i="77" s="1"/>
  <c r="K43" i="77" s="1"/>
  <c r="K44" i="77" s="1"/>
  <c r="K45" i="77" s="1"/>
  <c r="K46" i="77" s="1"/>
  <c r="K47" i="77" s="1"/>
  <c r="K48" i="77" s="1"/>
  <c r="K49" i="77" s="1"/>
  <c r="K50" i="77" s="1"/>
  <c r="K51" i="77" s="1"/>
  <c r="K52" i="77" s="1"/>
  <c r="K55" i="76"/>
  <c r="K54" i="77" l="1"/>
  <c r="M7" i="78" s="1"/>
  <c r="K22" i="78" s="1"/>
  <c r="K23" i="78" s="1"/>
  <c r="K24" i="78" s="1"/>
  <c r="K25" i="78" s="1"/>
  <c r="K26" i="78" s="1"/>
  <c r="K27" i="78" s="1"/>
  <c r="K28" i="78" s="1"/>
  <c r="K29" i="78" s="1"/>
  <c r="K30" i="78" s="1"/>
  <c r="K31" i="78" s="1"/>
  <c r="K32" i="78" s="1"/>
  <c r="K33" i="78" s="1"/>
  <c r="K34" i="78" s="1"/>
  <c r="K35" i="78" s="1"/>
  <c r="K36" i="78" s="1"/>
  <c r="K37" i="78" s="1"/>
  <c r="K38" i="78" s="1"/>
  <c r="K39" i="78" s="1"/>
  <c r="K40" i="78" s="1"/>
  <c r="K41" i="78" s="1"/>
  <c r="K42" i="78" s="1"/>
  <c r="K43" i="78" s="1"/>
  <c r="K44" i="78" s="1"/>
  <c r="K45" i="78" s="1"/>
  <c r="K46" i="78" s="1"/>
  <c r="K47" i="78" s="1"/>
  <c r="K48" i="78" s="1"/>
  <c r="K49" i="78" s="1"/>
  <c r="K50" i="78" s="1"/>
  <c r="K51" i="78" s="1"/>
  <c r="K52" i="78" s="1"/>
  <c r="K55" i="77"/>
  <c r="K54" i="78" l="1"/>
  <c r="M7" i="79" s="1"/>
  <c r="K22" i="79" s="1"/>
  <c r="K23" i="79" s="1"/>
  <c r="K24" i="79" s="1"/>
  <c r="K25" i="79" s="1"/>
  <c r="K26" i="79" s="1"/>
  <c r="K27" i="79" s="1"/>
  <c r="K28" i="79" s="1"/>
  <c r="K29" i="79" s="1"/>
  <c r="K30" i="79" s="1"/>
  <c r="K31" i="79" s="1"/>
  <c r="K32" i="79" s="1"/>
  <c r="K33" i="79" s="1"/>
  <c r="K34" i="79" s="1"/>
  <c r="K35" i="79" s="1"/>
  <c r="K36" i="79" s="1"/>
  <c r="K37" i="79" s="1"/>
  <c r="K38" i="79" s="1"/>
  <c r="K39" i="79" s="1"/>
  <c r="K40" i="79" s="1"/>
  <c r="K41" i="79" s="1"/>
  <c r="K42" i="79" s="1"/>
  <c r="K43" i="79" s="1"/>
  <c r="K44" i="79" s="1"/>
  <c r="K45" i="79" s="1"/>
  <c r="K46" i="79" s="1"/>
  <c r="K47" i="79" s="1"/>
  <c r="K48" i="79" s="1"/>
  <c r="K49" i="79" s="1"/>
  <c r="K50" i="79" s="1"/>
  <c r="K51" i="79" s="1"/>
  <c r="K52" i="79" s="1"/>
  <c r="K55" i="78"/>
  <c r="K54" i="79" l="1"/>
  <c r="M7" i="80" s="1"/>
  <c r="K22" i="80" s="1"/>
  <c r="K23" i="80" s="1"/>
  <c r="K24" i="80" s="1"/>
  <c r="K25" i="80" s="1"/>
  <c r="K26" i="80" s="1"/>
  <c r="K27" i="80" s="1"/>
  <c r="K28" i="80" s="1"/>
  <c r="K29" i="80" s="1"/>
  <c r="K30" i="80" s="1"/>
  <c r="K31" i="80" s="1"/>
  <c r="K32" i="80" s="1"/>
  <c r="K33" i="80" s="1"/>
  <c r="K34" i="80" s="1"/>
  <c r="K35" i="80" s="1"/>
  <c r="K36" i="80" s="1"/>
  <c r="K37" i="80" s="1"/>
  <c r="K38" i="80" s="1"/>
  <c r="K39" i="80" s="1"/>
  <c r="K40" i="80" s="1"/>
  <c r="K41" i="80" s="1"/>
  <c r="K42" i="80" s="1"/>
  <c r="K43" i="80" s="1"/>
  <c r="K44" i="80" s="1"/>
  <c r="K45" i="80" s="1"/>
  <c r="K46" i="80" s="1"/>
  <c r="K47" i="80" s="1"/>
  <c r="K48" i="80" s="1"/>
  <c r="K49" i="80" s="1"/>
  <c r="K50" i="80" s="1"/>
  <c r="K51" i="80" s="1"/>
  <c r="K52" i="80" s="1"/>
  <c r="K55" i="79"/>
  <c r="K54" i="80" l="1"/>
  <c r="M7" i="81" s="1"/>
  <c r="K22" i="81" s="1"/>
  <c r="K23" i="81" s="1"/>
  <c r="K24" i="81" s="1"/>
  <c r="K25" i="81" s="1"/>
  <c r="K26" i="81" s="1"/>
  <c r="K27" i="81" s="1"/>
  <c r="K28" i="81" s="1"/>
  <c r="K29" i="81" s="1"/>
  <c r="K30" i="81" s="1"/>
  <c r="K31" i="81" s="1"/>
  <c r="K32" i="81" s="1"/>
  <c r="K33" i="81" s="1"/>
  <c r="K34" i="81" s="1"/>
  <c r="K35" i="81" s="1"/>
  <c r="K36" i="81" s="1"/>
  <c r="K37" i="81" s="1"/>
  <c r="K38" i="81" s="1"/>
  <c r="K39" i="81" s="1"/>
  <c r="K40" i="81" s="1"/>
  <c r="K41" i="81" s="1"/>
  <c r="K42" i="81" s="1"/>
  <c r="K43" i="81" s="1"/>
  <c r="K44" i="81" s="1"/>
  <c r="K45" i="81" s="1"/>
  <c r="K46" i="81" s="1"/>
  <c r="K47" i="81" s="1"/>
  <c r="K48" i="81" s="1"/>
  <c r="K49" i="81" s="1"/>
  <c r="K50" i="81" s="1"/>
  <c r="K51" i="81" s="1"/>
  <c r="K52" i="81" s="1"/>
  <c r="K55" i="80"/>
  <c r="K54" i="81" l="1"/>
  <c r="K55" i="81"/>
</calcChain>
</file>

<file path=xl/comments1.xml><?xml version="1.0" encoding="utf-8"?>
<comments xmlns="http://schemas.openxmlformats.org/spreadsheetml/2006/main">
  <authors>
    <author>Dumke, Andreas</author>
    <author>Stefan Hein</author>
  </authors>
  <commentList>
    <comment ref="C21" authorId="0" shapeId="0">
      <text>
        <r>
          <rPr>
            <sz val="8"/>
            <color indexed="81"/>
            <rFont val="Tahoma"/>
            <family val="2"/>
          </rPr>
          <t xml:space="preserve">Bitte tragen Sie hier, falls zutreffend, das Kürzel </t>
        </r>
        <r>
          <rPr>
            <b/>
            <sz val="8"/>
            <color indexed="81"/>
            <rFont val="Tahoma"/>
            <family val="2"/>
          </rPr>
          <t>BA</t>
        </r>
        <r>
          <rPr>
            <sz val="8"/>
            <color indexed="81"/>
            <rFont val="Tahoma"/>
            <family val="2"/>
          </rPr>
          <t xml:space="preserve"> für Abwesenheiten ein, bei denen trotz Abwesenheit eine Entgeldfortzahlung besteht.
Dies ist der Fall bei Krankheit, Urlaub oder einem gesetzlichen Feiertag. Ein Feiertagskalender ist hinterlegt.
BA = bezahlte Abwesenheit
</t>
        </r>
      </text>
    </comment>
    <comment ref="E21" authorId="1" shapeId="0">
      <text>
        <r>
          <rPr>
            <sz val="8"/>
            <color indexed="81"/>
            <rFont val="Tahoma"/>
            <family val="2"/>
          </rPr>
          <t xml:space="preserve">Wöchentliche Arbeitszeit ./. Anzahl der Arbeitstage
bzw.
Individuelle Soll-Vorgabe
</t>
        </r>
      </text>
    </comment>
    <comment ref="F21" authorId="1" shapeId="0">
      <text>
        <r>
          <rPr>
            <sz val="8"/>
            <color indexed="81"/>
            <rFont val="Tahoma"/>
            <family val="2"/>
          </rPr>
          <t xml:space="preserve">Beginn der Arbeitszeit
Eingabe der Uhrzeit in Stunden und Minuten, durch Doppelpunkt getrennt (Bsp. 7:30 Uhr)
</t>
        </r>
      </text>
    </comment>
    <comment ref="G21" authorId="1" shapeId="0">
      <text>
        <r>
          <rPr>
            <sz val="8"/>
            <color indexed="81"/>
            <rFont val="Tahoma"/>
            <family val="2"/>
          </rPr>
          <t xml:space="preserve">Bitte tragen Sie hier die </t>
        </r>
        <r>
          <rPr>
            <b/>
            <sz val="8"/>
            <color indexed="81"/>
            <rFont val="Tahoma"/>
            <family val="2"/>
          </rPr>
          <t>SUMME</t>
        </r>
        <r>
          <rPr>
            <sz val="8"/>
            <color indexed="81"/>
            <rFont val="Tahoma"/>
            <family val="2"/>
          </rPr>
          <t xml:space="preserve"> aller Pausen am Tag ein. 
Eingabe in Stunden und Minuten, getrennt durch Doppelpunkt
Bsp.
30 Minuten Pause --&gt; Eingabe: 0:30    
60 Minuten Pause = 1 Stunde Pause --&gt; Eingabe: 1:00  
90 Minuten Pause = 1 Stunde 30 Minuten Pause --&gt; Eingabe: 1:30
</t>
        </r>
      </text>
    </comment>
    <comment ref="H21" authorId="1" shapeId="0">
      <text>
        <r>
          <rPr>
            <sz val="8"/>
            <color indexed="81"/>
            <rFont val="Tahoma"/>
            <family val="2"/>
          </rPr>
          <t>Ende der Arbeitszeit
Eingabe der Uhrzeit in Stunden und Minuten, durch Doppelpunkt getrennt (Bsp. 7:30 Uhr)</t>
        </r>
        <r>
          <rPr>
            <b/>
            <sz val="8"/>
            <color indexed="81"/>
            <rFont val="Tahoma"/>
            <family val="2"/>
          </rPr>
          <t xml:space="preserve">
</t>
        </r>
        <r>
          <rPr>
            <sz val="8"/>
            <color indexed="81"/>
            <rFont val="Tahoma"/>
            <family val="2"/>
          </rPr>
          <t xml:space="preserve">
</t>
        </r>
      </text>
    </comment>
    <comment ref="I21" authorId="1" shapeId="0">
      <text>
        <r>
          <rPr>
            <sz val="8"/>
            <color indexed="81"/>
            <rFont val="Tahoma"/>
            <family val="2"/>
          </rPr>
          <t xml:space="preserve">Ist-Stunden
(wird automatisch berechnet)
Differenz zwischen Ende und Beginn der Arbeitszeit 
abzüglich Pause/n
zzgl. Zeitgutschrift für Abwesenheitszeiten
</t>
        </r>
      </text>
    </comment>
    <comment ref="J21" authorId="1" shapeId="0">
      <text>
        <r>
          <rPr>
            <sz val="8"/>
            <color indexed="81"/>
            <rFont val="Tahoma"/>
            <family val="2"/>
          </rPr>
          <t>Tagessaldo</t>
        </r>
      </text>
    </comment>
    <comment ref="K21" authorId="1" shapeId="0">
      <text>
        <r>
          <rPr>
            <sz val="8"/>
            <color indexed="81"/>
            <rFont val="Tahoma"/>
            <family val="2"/>
          </rPr>
          <t>Flexstunden = Summe der Tagessalden und Übertrag aus dem Vormonat</t>
        </r>
      </text>
    </comment>
  </commentList>
</comments>
</file>

<file path=xl/comments2.xml><?xml version="1.0" encoding="utf-8"?>
<comments xmlns="http://schemas.openxmlformats.org/spreadsheetml/2006/main">
  <authors>
    <author>Dumke, Andreas</author>
    <author>Stefan Hein</author>
  </authors>
  <commentList>
    <comment ref="C21" authorId="0" shapeId="0">
      <text>
        <r>
          <rPr>
            <sz val="8"/>
            <color indexed="81"/>
            <rFont val="Tahoma"/>
            <family val="2"/>
          </rPr>
          <t xml:space="preserve">Bitte tragen Sie hier, falls zutreffend, das Kürzel </t>
        </r>
        <r>
          <rPr>
            <b/>
            <sz val="8"/>
            <color indexed="81"/>
            <rFont val="Tahoma"/>
            <family val="2"/>
          </rPr>
          <t>BA</t>
        </r>
        <r>
          <rPr>
            <sz val="8"/>
            <color indexed="81"/>
            <rFont val="Tahoma"/>
            <family val="2"/>
          </rPr>
          <t xml:space="preserve"> für Abwesenheiten ein, bei denen trotz Abwesenheit eine Entgeldfortzahlung besteht.
Dies ist der Fall bei Krankheit, Urlaub oder einem gesetzlichen Feiertag. Ein Feiertagskalender ist hinterlegt.
BA = bezahlte Abwesenheit
</t>
        </r>
      </text>
    </comment>
    <comment ref="E21" authorId="1" shapeId="0">
      <text>
        <r>
          <rPr>
            <sz val="8"/>
            <color indexed="81"/>
            <rFont val="Tahoma"/>
            <family val="2"/>
          </rPr>
          <t xml:space="preserve">Wöchentliche Arbeitszeit ./. Anzahl der Arbeitstage
bzw.
Individuelle Soll-Vorgabe
</t>
        </r>
      </text>
    </comment>
    <comment ref="F21" authorId="1" shapeId="0">
      <text>
        <r>
          <rPr>
            <sz val="8"/>
            <color indexed="81"/>
            <rFont val="Tahoma"/>
            <family val="2"/>
          </rPr>
          <t>Beginn der Arbeitszeit
Eingabe der Uhrzeit in Stunden und Minuten, durch Doppelpunkt getrennt (Bsp. 7:30 Uhr)</t>
        </r>
      </text>
    </comment>
    <comment ref="G21" authorId="1" shapeId="0">
      <text>
        <r>
          <rPr>
            <sz val="8"/>
            <color indexed="81"/>
            <rFont val="Tahoma"/>
            <family val="2"/>
          </rPr>
          <t xml:space="preserve">Bitte tragen Sie hier die </t>
        </r>
        <r>
          <rPr>
            <b/>
            <sz val="8"/>
            <color indexed="81"/>
            <rFont val="Tahoma"/>
            <family val="2"/>
          </rPr>
          <t>SUMME</t>
        </r>
        <r>
          <rPr>
            <sz val="8"/>
            <color indexed="81"/>
            <rFont val="Tahoma"/>
            <family val="2"/>
          </rPr>
          <t xml:space="preserve"> aller Pausen am Tag ein. 
Eingabe in Stunden und Minuten, getrennt durch Doppelpunkt
Bsp.
30 Minuten Pause --&gt; Eingabe: 0:30    
60 Minuten Pause = 1 Stunde Pause --&gt; Eingabe: 1:00  
90 Minuten Pause = 1 Stunde 30 Minuten Pause --&gt; Eingabe: 1:30
</t>
        </r>
      </text>
    </comment>
    <comment ref="H21" authorId="1" shapeId="0">
      <text>
        <r>
          <rPr>
            <sz val="8"/>
            <color indexed="81"/>
            <rFont val="Tahoma"/>
            <family val="2"/>
          </rPr>
          <t xml:space="preserve">Ende der Arbeitszeit
Eingabe der Uhrzeit in Stunden und Minuten, durch Doppelpunkt getrennt (Bsp. 7:30 Uhr)
</t>
        </r>
      </text>
    </comment>
    <comment ref="I21" authorId="1" shapeId="0">
      <text>
        <r>
          <rPr>
            <sz val="8"/>
            <color indexed="81"/>
            <rFont val="Tahoma"/>
            <family val="2"/>
          </rPr>
          <t xml:space="preserve">Ist-Stunden
(wird automatisch berechnet)
Differenz zwischen Ende und Beginn der Arbeitszeit 
abzüglich Pause/n
zzgl. Zeitgutschrift für Abwesenheitszeiten
</t>
        </r>
      </text>
    </comment>
    <comment ref="J21" authorId="1" shapeId="0">
      <text>
        <r>
          <rPr>
            <sz val="8"/>
            <color indexed="81"/>
            <rFont val="Tahoma"/>
            <family val="2"/>
          </rPr>
          <t>Tagessaldo</t>
        </r>
      </text>
    </comment>
    <comment ref="K21" authorId="1" shapeId="0">
      <text>
        <r>
          <rPr>
            <sz val="8"/>
            <color indexed="81"/>
            <rFont val="Tahoma"/>
            <family val="2"/>
          </rPr>
          <t>Flexstunden = Summe der Tagessalden und Übertrag aus dem Vormonat</t>
        </r>
      </text>
    </comment>
  </commentList>
</comments>
</file>

<file path=xl/comments3.xml><?xml version="1.0" encoding="utf-8"?>
<comments xmlns="http://schemas.openxmlformats.org/spreadsheetml/2006/main">
  <authors>
    <author>Dumke, Andreas</author>
    <author>Stefan Hein</author>
  </authors>
  <commentList>
    <comment ref="C21" authorId="0" shapeId="0">
      <text>
        <r>
          <rPr>
            <sz val="8"/>
            <color indexed="81"/>
            <rFont val="Tahoma"/>
            <family val="2"/>
          </rPr>
          <t xml:space="preserve">Bitte tragen Sie hier, falls zutreffend, das Kürzel </t>
        </r>
        <r>
          <rPr>
            <b/>
            <sz val="8"/>
            <color indexed="81"/>
            <rFont val="Tahoma"/>
            <family val="2"/>
          </rPr>
          <t>BA</t>
        </r>
        <r>
          <rPr>
            <sz val="8"/>
            <color indexed="81"/>
            <rFont val="Tahoma"/>
            <family val="2"/>
          </rPr>
          <t xml:space="preserve"> für Abwesenheiten ein, bei denen trotz Abwesenheit eine Entgeldfortzahlung besteht.
Dies ist der Fall bei Krankheit, Urlaub oder einem gesetzlichen Feiertag. Ein Feiertagskalender ist hinterlegt.
BA = bezahlte Abwesenheit
</t>
        </r>
      </text>
    </comment>
    <comment ref="E21" authorId="1" shapeId="0">
      <text>
        <r>
          <rPr>
            <sz val="8"/>
            <color indexed="81"/>
            <rFont val="Tahoma"/>
            <family val="2"/>
          </rPr>
          <t xml:space="preserve">Wöchentliche Arbeitszeit ./. Anzahl der Arbeitstage
bzw.
Individuelle Soll-Vorgabe
</t>
        </r>
      </text>
    </comment>
    <comment ref="F21" authorId="1" shapeId="0">
      <text>
        <r>
          <rPr>
            <sz val="8"/>
            <color indexed="81"/>
            <rFont val="Tahoma"/>
            <family val="2"/>
          </rPr>
          <t>Beginn der Arbeitszeit
Eingabe der Uhrzeit in Stunden und Minuten, durch Doppelpunkt getrennt (Bsp. 7:30 Uhr)</t>
        </r>
      </text>
    </comment>
    <comment ref="G21" authorId="1" shapeId="0">
      <text>
        <r>
          <rPr>
            <sz val="8"/>
            <color indexed="81"/>
            <rFont val="Tahoma"/>
            <family val="2"/>
          </rPr>
          <t xml:space="preserve">Bitte tragen Sie hier die </t>
        </r>
        <r>
          <rPr>
            <b/>
            <sz val="8"/>
            <color indexed="81"/>
            <rFont val="Tahoma"/>
            <family val="2"/>
          </rPr>
          <t>SUMME</t>
        </r>
        <r>
          <rPr>
            <sz val="8"/>
            <color indexed="81"/>
            <rFont val="Tahoma"/>
            <family val="2"/>
          </rPr>
          <t xml:space="preserve"> aller Pausen am Tag ein. 
Eingabe in Stunden und Minuten, getrennt durch Doppelpunkt
Bsp.
30 Minuten Pause --&gt; Eingabe: 0:30    
60 Minuten Pause = 1 Stunde Pause --&gt; Eingabe: 1:00  
90 Minuten Pause = 1 Stunde 30 Minuten Pause --&gt; Eingabe: 1:30
</t>
        </r>
      </text>
    </comment>
    <comment ref="H21" authorId="1" shapeId="0">
      <text>
        <r>
          <rPr>
            <sz val="8"/>
            <color indexed="81"/>
            <rFont val="Tahoma"/>
            <family val="2"/>
          </rPr>
          <t xml:space="preserve">Ende der Arbeitszeit
Eingabe der Uhrzeit in Stunden und Minuten, durch Doppelpunkt getrennt (Bsp. 7:30 Uhr)
</t>
        </r>
      </text>
    </comment>
    <comment ref="I21" authorId="1" shapeId="0">
      <text>
        <r>
          <rPr>
            <sz val="8"/>
            <color indexed="81"/>
            <rFont val="Tahoma"/>
            <family val="2"/>
          </rPr>
          <t xml:space="preserve">Ist-Stunden
(wird automatisch berechnet)
Differenz zwischen Ende und Beginn der Arbeitszeit 
abzüglich Pause/n
zzgl. Zeitgutschrift für Abwesenheitszeiten
</t>
        </r>
      </text>
    </comment>
    <comment ref="J21" authorId="1" shapeId="0">
      <text>
        <r>
          <rPr>
            <sz val="8"/>
            <color indexed="81"/>
            <rFont val="Tahoma"/>
            <family val="2"/>
          </rPr>
          <t>Tagessaldo</t>
        </r>
      </text>
    </comment>
    <comment ref="K21" authorId="1" shapeId="0">
      <text>
        <r>
          <rPr>
            <sz val="8"/>
            <color indexed="81"/>
            <rFont val="Tahoma"/>
            <family val="2"/>
          </rPr>
          <t>Flexstunden = Summe der Tagessalden und Übertrag aus dem Vormonat</t>
        </r>
      </text>
    </comment>
  </commentList>
</comments>
</file>

<file path=xl/comments4.xml><?xml version="1.0" encoding="utf-8"?>
<comments xmlns="http://schemas.openxmlformats.org/spreadsheetml/2006/main">
  <authors>
    <author>Dumke, Andreas</author>
    <author>Stefan Hein</author>
  </authors>
  <commentList>
    <comment ref="C21" authorId="0" shapeId="0">
      <text>
        <r>
          <rPr>
            <sz val="8"/>
            <color indexed="81"/>
            <rFont val="Tahoma"/>
            <family val="2"/>
          </rPr>
          <t xml:space="preserve">Bitte tragen Sie hier, falls zutreffend, das Kürzel </t>
        </r>
        <r>
          <rPr>
            <b/>
            <sz val="8"/>
            <color indexed="81"/>
            <rFont val="Tahoma"/>
            <family val="2"/>
          </rPr>
          <t>BA</t>
        </r>
        <r>
          <rPr>
            <sz val="8"/>
            <color indexed="81"/>
            <rFont val="Tahoma"/>
            <family val="2"/>
          </rPr>
          <t xml:space="preserve"> für Abwesenheiten ein, bei denen trotz Abwesenheit eine Entgeldfortzahlung besteht.
Dies ist der Fall bei Krankheit, Urlaub oder einem gesetzlichen Feiertag. Ein Feiertagskalender ist hinterlegt.
BA = bezahlte Abwesenheit
</t>
        </r>
      </text>
    </comment>
    <comment ref="E21" authorId="1" shapeId="0">
      <text>
        <r>
          <rPr>
            <sz val="8"/>
            <color indexed="81"/>
            <rFont val="Tahoma"/>
            <family val="2"/>
          </rPr>
          <t xml:space="preserve">Wöchentliche Arbeitszeit ./. Anzahl der Arbeitstage
bzw.
Individuelle Soll-Vorgabe
</t>
        </r>
      </text>
    </comment>
    <comment ref="F21" authorId="1" shapeId="0">
      <text>
        <r>
          <rPr>
            <sz val="8"/>
            <color indexed="81"/>
            <rFont val="Tahoma"/>
            <family val="2"/>
          </rPr>
          <t>Beginn der Arbeitszeit
Eingabe der Uhrzeit in Stunden und Minuten, durch Doppelpunkt getrennt (Bsp. 7:30 Uhr)</t>
        </r>
      </text>
    </comment>
    <comment ref="G21" authorId="1" shapeId="0">
      <text>
        <r>
          <rPr>
            <sz val="8"/>
            <color indexed="81"/>
            <rFont val="Tahoma"/>
            <family val="2"/>
          </rPr>
          <t xml:space="preserve">Bitte tragen Sie hier die </t>
        </r>
        <r>
          <rPr>
            <b/>
            <sz val="8"/>
            <color indexed="81"/>
            <rFont val="Tahoma"/>
            <family val="2"/>
          </rPr>
          <t>SUMME</t>
        </r>
        <r>
          <rPr>
            <sz val="8"/>
            <color indexed="81"/>
            <rFont val="Tahoma"/>
            <family val="2"/>
          </rPr>
          <t xml:space="preserve"> aller Pausen am Tag ein. 
Eingabe in Stunden und Minuten, getrennt durch Doppelpunkt
Bsp.
30 Minuten Pause --&gt; Eingabe: 0:30    
60 Minuten Pause = 1 Stunde Pause --&gt; Eingabe: 1:00  
90 Minuten Pause = 1 Stunde 30 Minuten Pause --&gt; Eingabe: 1:30
</t>
        </r>
      </text>
    </comment>
    <comment ref="H21" authorId="1" shapeId="0">
      <text>
        <r>
          <rPr>
            <sz val="8"/>
            <color indexed="81"/>
            <rFont val="Tahoma"/>
            <family val="2"/>
          </rPr>
          <t xml:space="preserve">Ende der Arbeitszeit
Eingabe der Uhrzeit in Stunden und Minuten, durch Doppelpunkt getrennt (Bsp. 7:30 Uhr)
</t>
        </r>
      </text>
    </comment>
    <comment ref="I21" authorId="1" shapeId="0">
      <text>
        <r>
          <rPr>
            <sz val="8"/>
            <color indexed="81"/>
            <rFont val="Tahoma"/>
            <family val="2"/>
          </rPr>
          <t xml:space="preserve">Ist-Stunden
(wird automatisch berechnet)
Differenz zwischen Ende und Beginn der Arbeitszeit 
abzüglich Pause/n
zzgl. Zeitgutschrift für Abwesenheitszeiten
</t>
        </r>
      </text>
    </comment>
    <comment ref="J21" authorId="1" shapeId="0">
      <text>
        <r>
          <rPr>
            <sz val="8"/>
            <color indexed="81"/>
            <rFont val="Tahoma"/>
            <family val="2"/>
          </rPr>
          <t>Tagessaldo</t>
        </r>
      </text>
    </comment>
    <comment ref="K21" authorId="1" shapeId="0">
      <text>
        <r>
          <rPr>
            <sz val="8"/>
            <color indexed="81"/>
            <rFont val="Tahoma"/>
            <family val="2"/>
          </rPr>
          <t>Flexstunden = Summe der Tagessalden und Übertrag aus dem Vormonat</t>
        </r>
      </text>
    </comment>
  </commentList>
</comments>
</file>

<file path=xl/comments5.xml><?xml version="1.0" encoding="utf-8"?>
<comments xmlns="http://schemas.openxmlformats.org/spreadsheetml/2006/main">
  <authors>
    <author>Dumke, Andreas</author>
    <author>Stefan Hein</author>
  </authors>
  <commentList>
    <comment ref="C21" authorId="0" shapeId="0">
      <text>
        <r>
          <rPr>
            <sz val="8"/>
            <color indexed="81"/>
            <rFont val="Tahoma"/>
            <family val="2"/>
          </rPr>
          <t xml:space="preserve">Bitte tragen Sie hier, falls zutreffend, das Kürzel </t>
        </r>
        <r>
          <rPr>
            <b/>
            <sz val="8"/>
            <color indexed="81"/>
            <rFont val="Tahoma"/>
            <family val="2"/>
          </rPr>
          <t>BA</t>
        </r>
        <r>
          <rPr>
            <sz val="8"/>
            <color indexed="81"/>
            <rFont val="Tahoma"/>
            <family val="2"/>
          </rPr>
          <t xml:space="preserve"> für Abwesenheiten ein, bei denen trotz Abwesenheit eine Entgeldfortzahlung besteht.
Dies ist der Fall bei Krankheit, Urlaub oder einem gesetzlichen Feiertag. Ein Feiertagskalender ist hinterlegt.
BA = bezahlte Abwesenheit
</t>
        </r>
      </text>
    </comment>
    <comment ref="E21" authorId="1" shapeId="0">
      <text>
        <r>
          <rPr>
            <sz val="8"/>
            <color indexed="81"/>
            <rFont val="Tahoma"/>
            <family val="2"/>
          </rPr>
          <t xml:space="preserve">Wöchentliche Arbeitszeit ./. Anzahl der Arbeitstage
bzw.
Individuelle Soll-Vorgabe
</t>
        </r>
      </text>
    </comment>
    <comment ref="F21" authorId="1" shapeId="0">
      <text>
        <r>
          <rPr>
            <sz val="8"/>
            <color indexed="81"/>
            <rFont val="Tahoma"/>
            <family val="2"/>
          </rPr>
          <t>Beginn der Arbeitszeit
Eingabe der Uhrzeit in Stunden und Minuten, durch Doppelpunkt getrennt (Bsp. 7:30 Uhr)</t>
        </r>
      </text>
    </comment>
    <comment ref="G21" authorId="1" shapeId="0">
      <text>
        <r>
          <rPr>
            <sz val="8"/>
            <color indexed="81"/>
            <rFont val="Tahoma"/>
            <family val="2"/>
          </rPr>
          <t xml:space="preserve">Bitte tragen Sie hier die </t>
        </r>
        <r>
          <rPr>
            <b/>
            <sz val="8"/>
            <color indexed="81"/>
            <rFont val="Tahoma"/>
            <family val="2"/>
          </rPr>
          <t>SUMME</t>
        </r>
        <r>
          <rPr>
            <sz val="8"/>
            <color indexed="81"/>
            <rFont val="Tahoma"/>
            <family val="2"/>
          </rPr>
          <t xml:space="preserve"> aller Pausen am Tag ein. 
Eingabe in Stunden und Minuten, getrennt durch Doppelpunkt
Bsp.
30 Minuten Pause --&gt; Eingabe: 0:30    
60 Minuten Pause = 1 Stunde Pause --&gt; Eingabe: 1:00  
90 Minuten Pause = 1 Stunde 30 Minuten Pause --&gt; Eingabe: 1:30
</t>
        </r>
      </text>
    </comment>
    <comment ref="H21" authorId="1" shapeId="0">
      <text>
        <r>
          <rPr>
            <sz val="8"/>
            <color indexed="81"/>
            <rFont val="Tahoma"/>
            <family val="2"/>
          </rPr>
          <t>Ende der Arbeitszeit
Eingabe der Uhrzeit in Stunden und Minuten, durch Doppelpunkt getrennt (Bsp. 7:30 Uhr)</t>
        </r>
        <r>
          <rPr>
            <b/>
            <sz val="8"/>
            <color indexed="81"/>
            <rFont val="Tahoma"/>
            <family val="2"/>
          </rPr>
          <t xml:space="preserve">
</t>
        </r>
        <r>
          <rPr>
            <sz val="8"/>
            <color indexed="81"/>
            <rFont val="Tahoma"/>
            <family val="2"/>
          </rPr>
          <t xml:space="preserve">
</t>
        </r>
      </text>
    </comment>
    <comment ref="I21" authorId="1" shapeId="0">
      <text>
        <r>
          <rPr>
            <sz val="8"/>
            <color indexed="81"/>
            <rFont val="Tahoma"/>
            <family val="2"/>
          </rPr>
          <t xml:space="preserve">Ist-Stunden
(wird automatisch berechnet)
Differenz zwischen Ende und Beginn der Arbeitszeit 
abzüglich Pause/n
zzgl. Zeitgutschrift für Abwesenheitszeiten
</t>
        </r>
      </text>
    </comment>
    <comment ref="J21" authorId="1" shapeId="0">
      <text>
        <r>
          <rPr>
            <sz val="8"/>
            <color indexed="81"/>
            <rFont val="Tahoma"/>
            <family val="2"/>
          </rPr>
          <t>Tagessaldo</t>
        </r>
      </text>
    </comment>
    <comment ref="K21" authorId="1" shapeId="0">
      <text>
        <r>
          <rPr>
            <sz val="8"/>
            <color indexed="81"/>
            <rFont val="Tahoma"/>
            <family val="2"/>
          </rPr>
          <t>Flexstunden = Summe der Tagessalden und Übertrag aus dem Vormonat</t>
        </r>
      </text>
    </comment>
  </commentList>
</comments>
</file>

<file path=xl/comments6.xml><?xml version="1.0" encoding="utf-8"?>
<comments xmlns="http://schemas.openxmlformats.org/spreadsheetml/2006/main">
  <authors>
    <author>Dumke, Andreas</author>
    <author>Stefan Hein</author>
  </authors>
  <commentList>
    <comment ref="C21" authorId="0" shapeId="0">
      <text>
        <r>
          <rPr>
            <sz val="8"/>
            <color indexed="81"/>
            <rFont val="Tahoma"/>
            <family val="2"/>
          </rPr>
          <t xml:space="preserve">Bitte tragen Sie hier, falls zutreffend, das Kürzel </t>
        </r>
        <r>
          <rPr>
            <b/>
            <sz val="8"/>
            <color indexed="81"/>
            <rFont val="Tahoma"/>
            <family val="2"/>
          </rPr>
          <t>BA</t>
        </r>
        <r>
          <rPr>
            <sz val="8"/>
            <color indexed="81"/>
            <rFont val="Tahoma"/>
            <family val="2"/>
          </rPr>
          <t xml:space="preserve"> für Abwesenheiten ein, bei denen trotz Abwesenheit eine Entgeldfortzahlung besteht.
Dies ist der Fall bei Krankheit, Urlaub oder einem gesetzlichen Feiertag. Ein Feiertagskalender ist hinterlegt.
BA = bezahlte Abwesenheit
</t>
        </r>
      </text>
    </comment>
    <comment ref="E21" authorId="1" shapeId="0">
      <text>
        <r>
          <rPr>
            <sz val="8"/>
            <color indexed="81"/>
            <rFont val="Tahoma"/>
            <family val="2"/>
          </rPr>
          <t xml:space="preserve">Wöchentliche Arbeitszeit ./. Anzahl der Arbeitstage
bzw.
Individuelle Soll-Vorgabe
</t>
        </r>
      </text>
    </comment>
    <comment ref="F21" authorId="1" shapeId="0">
      <text>
        <r>
          <rPr>
            <sz val="8"/>
            <color indexed="81"/>
            <rFont val="Tahoma"/>
            <family val="2"/>
          </rPr>
          <t xml:space="preserve">Beginn der Arbeitszeit
Eingabe der Uhrzeit in Stunden und Minuten, durch Doppelpunkt getrennt (Bsp. 7:30 Uhr)
</t>
        </r>
      </text>
    </comment>
    <comment ref="G21" authorId="1" shapeId="0">
      <text>
        <r>
          <rPr>
            <sz val="8"/>
            <color indexed="81"/>
            <rFont val="Tahoma"/>
            <family val="2"/>
          </rPr>
          <t xml:space="preserve">Bitte tragen Sie hier die </t>
        </r>
        <r>
          <rPr>
            <b/>
            <sz val="8"/>
            <color indexed="81"/>
            <rFont val="Tahoma"/>
            <family val="2"/>
          </rPr>
          <t>SUMME</t>
        </r>
        <r>
          <rPr>
            <sz val="8"/>
            <color indexed="81"/>
            <rFont val="Tahoma"/>
            <family val="2"/>
          </rPr>
          <t xml:space="preserve"> aller Pausen am Tag ein. 
Eingabe in Stunden und Minuten, getrennt durch Doppelpunkt
Bsp.
30 Minuten Pause --&gt; Eingabe: 0:30    
60 Minuten Pause = 1 Stunde Pause --&gt; Eingabe: 1:00  
90 Minuten Pause = 1 Stunde 30 Minuten Pause --&gt; Eingabe: 1:30
</t>
        </r>
      </text>
    </comment>
    <comment ref="H21" authorId="1" shapeId="0">
      <text>
        <r>
          <rPr>
            <sz val="8"/>
            <color indexed="81"/>
            <rFont val="Tahoma"/>
            <family val="2"/>
          </rPr>
          <t xml:space="preserve">Ende der Arbeitszeit
Eingabe der Uhrzeit in Stunden und Minuten, durch Doppelpunkt getrennt (Bsp. 7:30 Uhr)
</t>
        </r>
      </text>
    </comment>
    <comment ref="I21" authorId="1" shapeId="0">
      <text>
        <r>
          <rPr>
            <sz val="8"/>
            <color indexed="81"/>
            <rFont val="Tahoma"/>
            <family val="2"/>
          </rPr>
          <t xml:space="preserve">Ist-Stunden
(wird automatisch berechnet)
Differenz zwischen Ende und Beginn der Arbeitszeit 
abzüglich Pause/n
zzgl. Zeitgutschrift für Abwesenheitszeiten
</t>
        </r>
      </text>
    </comment>
    <comment ref="J21" authorId="1" shapeId="0">
      <text>
        <r>
          <rPr>
            <sz val="8"/>
            <color indexed="81"/>
            <rFont val="Tahoma"/>
            <family val="2"/>
          </rPr>
          <t>Tagessaldo</t>
        </r>
      </text>
    </comment>
    <comment ref="K21" authorId="1" shapeId="0">
      <text>
        <r>
          <rPr>
            <sz val="8"/>
            <color indexed="81"/>
            <rFont val="Tahoma"/>
            <family val="2"/>
          </rPr>
          <t>Flexstunden = Summe der Tagessalden und Übertrag aus dem Vormonat</t>
        </r>
      </text>
    </comment>
  </commentList>
</comments>
</file>

<file path=xl/comments7.xml><?xml version="1.0" encoding="utf-8"?>
<comments xmlns="http://schemas.openxmlformats.org/spreadsheetml/2006/main">
  <authors>
    <author>Dumke, Andreas</author>
    <author>Stefan Hein</author>
  </authors>
  <commentList>
    <comment ref="C21" authorId="0" shapeId="0">
      <text>
        <r>
          <rPr>
            <sz val="8"/>
            <color indexed="81"/>
            <rFont val="Tahoma"/>
            <family val="2"/>
          </rPr>
          <t xml:space="preserve">Bitte tragen Sie hier, falls zutreffend, das Kürzel </t>
        </r>
        <r>
          <rPr>
            <b/>
            <sz val="8"/>
            <color indexed="81"/>
            <rFont val="Tahoma"/>
            <family val="2"/>
          </rPr>
          <t>BA</t>
        </r>
        <r>
          <rPr>
            <sz val="8"/>
            <color indexed="81"/>
            <rFont val="Tahoma"/>
            <family val="2"/>
          </rPr>
          <t xml:space="preserve"> für Abwesenheiten ein, bei denen trotz Abwesenheit eine Entgeldfortzahlung besteht.
Dies ist der Fall bei Krankheit, Urlaub oder einem gesetzlichen Feiertag. Ein Feiertagskalender ist hinterlegt.
BA = bezahlte Abwesenheit
</t>
        </r>
      </text>
    </comment>
    <comment ref="E21" authorId="1" shapeId="0">
      <text>
        <r>
          <rPr>
            <sz val="8"/>
            <color indexed="81"/>
            <rFont val="Tahoma"/>
            <family val="2"/>
          </rPr>
          <t xml:space="preserve">Wöchentliche Arbeitszeit ./. Anzahl der Arbeitstage
bzw.
Individuelle Soll-Vorgabe
</t>
        </r>
      </text>
    </comment>
    <comment ref="F21" authorId="1" shapeId="0">
      <text>
        <r>
          <rPr>
            <sz val="8"/>
            <color indexed="81"/>
            <rFont val="Tahoma"/>
            <family val="2"/>
          </rPr>
          <t>Beginn der Arbeitszeit
Eingabe der Uhrzeit in Stunden und Minuten, durch Doppelpunkt getrennt (Bsp. 7:30 Uhr)</t>
        </r>
      </text>
    </comment>
    <comment ref="G21" authorId="1" shapeId="0">
      <text>
        <r>
          <rPr>
            <sz val="8"/>
            <color indexed="81"/>
            <rFont val="Tahoma"/>
            <family val="2"/>
          </rPr>
          <t xml:space="preserve">Bitte tragen Sie hier die </t>
        </r>
        <r>
          <rPr>
            <b/>
            <sz val="8"/>
            <color indexed="81"/>
            <rFont val="Tahoma"/>
            <family val="2"/>
          </rPr>
          <t>SUMME</t>
        </r>
        <r>
          <rPr>
            <sz val="8"/>
            <color indexed="81"/>
            <rFont val="Tahoma"/>
            <family val="2"/>
          </rPr>
          <t xml:space="preserve"> aller Pausen am Tag ein. 
Eingabe in Stunden und Minuten, getrennt durch Doppelpunkt
Bsp.
30 Minuten Pause --&gt; Eingabe: 0:30    
60 Minuten Pause = 1 Stunde Pause --&gt; Eingabe: 1:00  
90 Minuten Pause = 1 Stunde 30 Minuten Pause --&gt; Eingabe: 1:30
</t>
        </r>
      </text>
    </comment>
    <comment ref="H21" authorId="1" shapeId="0">
      <text>
        <r>
          <rPr>
            <sz val="8"/>
            <color indexed="81"/>
            <rFont val="Tahoma"/>
            <family val="2"/>
          </rPr>
          <t>Ende der Arbeitszeit
Eingabe der Uhrzeit in Stunden und Minuten, durch Doppelpunkt getrennt (Bsp. 7:30 Uhr)</t>
        </r>
        <r>
          <rPr>
            <b/>
            <sz val="8"/>
            <color indexed="81"/>
            <rFont val="Tahoma"/>
            <family val="2"/>
          </rPr>
          <t xml:space="preserve">
</t>
        </r>
        <r>
          <rPr>
            <sz val="8"/>
            <color indexed="81"/>
            <rFont val="Tahoma"/>
            <family val="2"/>
          </rPr>
          <t xml:space="preserve">
</t>
        </r>
      </text>
    </comment>
    <comment ref="I21" authorId="1" shapeId="0">
      <text>
        <r>
          <rPr>
            <sz val="8"/>
            <color indexed="81"/>
            <rFont val="Tahoma"/>
            <family val="2"/>
          </rPr>
          <t xml:space="preserve">Ist-Stunden
(wird automatisch berechnet)
Differenz zwischen Ende und Beginn der Arbeitszeit 
abzüglich Pause/n
zzgl. Zeitgutschrift für Abwesenheitszeiten
</t>
        </r>
      </text>
    </comment>
    <comment ref="J21" authorId="1" shapeId="0">
      <text>
        <r>
          <rPr>
            <sz val="8"/>
            <color indexed="81"/>
            <rFont val="Tahoma"/>
            <family val="2"/>
          </rPr>
          <t>Tagessaldo</t>
        </r>
      </text>
    </comment>
    <comment ref="K21" authorId="1" shapeId="0">
      <text>
        <r>
          <rPr>
            <sz val="8"/>
            <color indexed="81"/>
            <rFont val="Tahoma"/>
            <family val="2"/>
          </rPr>
          <t>Flexstunden = Summe der Tagessalden und Übertrag aus dem Vormonat</t>
        </r>
      </text>
    </comment>
  </commentList>
</comments>
</file>

<file path=xl/comments8.xml><?xml version="1.0" encoding="utf-8"?>
<comments xmlns="http://schemas.openxmlformats.org/spreadsheetml/2006/main">
  <authors>
    <author>Dumke, Andreas</author>
    <author>Stefan Hein</author>
  </authors>
  <commentList>
    <comment ref="C21" authorId="0" shapeId="0">
      <text>
        <r>
          <rPr>
            <sz val="8"/>
            <color indexed="81"/>
            <rFont val="Tahoma"/>
            <family val="2"/>
          </rPr>
          <t xml:space="preserve">Bitte tragen Sie hier, falls zutreffend, das Kürzel </t>
        </r>
        <r>
          <rPr>
            <b/>
            <sz val="8"/>
            <color indexed="81"/>
            <rFont val="Tahoma"/>
            <family val="2"/>
          </rPr>
          <t>BA</t>
        </r>
        <r>
          <rPr>
            <sz val="8"/>
            <color indexed="81"/>
            <rFont val="Tahoma"/>
            <family val="2"/>
          </rPr>
          <t xml:space="preserve"> für Abwesenheiten ein, bei denen trotz Abwesenheit eine Entgeldfortzahlung besteht.
Dies ist der Fall bei Krankheit, Urlaub oder einem gesetzlichen Feiertag. Ein Feiertagskalender ist hinterlegt.
BA = bezahlte Abwesenheit
</t>
        </r>
      </text>
    </comment>
    <comment ref="E21" authorId="1" shapeId="0">
      <text>
        <r>
          <rPr>
            <sz val="8"/>
            <color indexed="81"/>
            <rFont val="Tahoma"/>
            <family val="2"/>
          </rPr>
          <t xml:space="preserve">Wöchentliche Arbeitszeit ./. Anzahl der Arbeitstage
bzw.
Individuelle Soll-Vorgabe
</t>
        </r>
      </text>
    </comment>
    <comment ref="F21" authorId="1" shapeId="0">
      <text>
        <r>
          <rPr>
            <sz val="8"/>
            <color indexed="81"/>
            <rFont val="Tahoma"/>
            <family val="2"/>
          </rPr>
          <t xml:space="preserve">Beginn der Arbeitszeit
Eingabe der Uhrzeit in Stunden und Minuten, durch Doppelpunkt getrennt (Bsp. 7:30 Uhr)
</t>
        </r>
      </text>
    </comment>
    <comment ref="G21" authorId="1" shapeId="0">
      <text>
        <r>
          <rPr>
            <sz val="8"/>
            <color indexed="81"/>
            <rFont val="Tahoma"/>
            <family val="2"/>
          </rPr>
          <t xml:space="preserve">Bitte tragen Sie hier die </t>
        </r>
        <r>
          <rPr>
            <b/>
            <sz val="8"/>
            <color indexed="81"/>
            <rFont val="Tahoma"/>
            <family val="2"/>
          </rPr>
          <t>SUMME</t>
        </r>
        <r>
          <rPr>
            <sz val="8"/>
            <color indexed="81"/>
            <rFont val="Tahoma"/>
            <family val="2"/>
          </rPr>
          <t xml:space="preserve"> aller Pausen am Tag ein. 
Eingabe in Stunden und Minuten, getrennt durch Doppelpunkt
Bsp.
30 Minuten Pause --&gt; Eingabe: 0:30    
60 Minuten Pause = 1 Stunde Pause --&gt; Eingabe: 1:00  
90 Minuten Pause = 1 Stunde 30 Minuten Pause --&gt; Eingabe: 1:30
</t>
        </r>
      </text>
    </comment>
    <comment ref="H21" authorId="1" shapeId="0">
      <text>
        <r>
          <rPr>
            <sz val="8"/>
            <color indexed="81"/>
            <rFont val="Tahoma"/>
            <family val="2"/>
          </rPr>
          <t>Ende der Arbeitszeit
Eingabe der Uhrzeit in Stunden und Minuten, durch Doppelpunkt getrennt (Bsp. 7:30 Uhr)</t>
        </r>
        <r>
          <rPr>
            <b/>
            <sz val="8"/>
            <color indexed="81"/>
            <rFont val="Tahoma"/>
            <family val="2"/>
          </rPr>
          <t xml:space="preserve">
</t>
        </r>
        <r>
          <rPr>
            <sz val="8"/>
            <color indexed="81"/>
            <rFont val="Tahoma"/>
            <family val="2"/>
          </rPr>
          <t xml:space="preserve">
</t>
        </r>
      </text>
    </comment>
    <comment ref="I21" authorId="1" shapeId="0">
      <text>
        <r>
          <rPr>
            <sz val="8"/>
            <color indexed="81"/>
            <rFont val="Tahoma"/>
            <family val="2"/>
          </rPr>
          <t xml:space="preserve">Ist-Stunden
(wird automatisch berechnet)
Differenz zwischen Ende und Beginn der Arbeitszeit 
abzüglich Pause/n
zzgl. Zeitgutschrift für Abwesenheitszeiten
</t>
        </r>
      </text>
    </comment>
    <comment ref="J21" authorId="1" shapeId="0">
      <text>
        <r>
          <rPr>
            <sz val="8"/>
            <color indexed="81"/>
            <rFont val="Tahoma"/>
            <family val="2"/>
          </rPr>
          <t>Tagessaldo</t>
        </r>
      </text>
    </comment>
    <comment ref="K21" authorId="1" shapeId="0">
      <text>
        <r>
          <rPr>
            <sz val="8"/>
            <color indexed="81"/>
            <rFont val="Tahoma"/>
            <family val="2"/>
          </rPr>
          <t>Flexstunden = Summe der Tagessalden und Übertrag aus dem Vormonat</t>
        </r>
      </text>
    </comment>
  </commentList>
</comments>
</file>

<file path=xl/comments9.xml><?xml version="1.0" encoding="utf-8"?>
<comments xmlns="http://schemas.openxmlformats.org/spreadsheetml/2006/main">
  <authors>
    <author>Dumke, Andreas</author>
    <author>Stefan Hein</author>
  </authors>
  <commentList>
    <comment ref="C21" authorId="0" shapeId="0">
      <text>
        <r>
          <rPr>
            <sz val="8"/>
            <color indexed="81"/>
            <rFont val="Tahoma"/>
            <family val="2"/>
          </rPr>
          <t xml:space="preserve">Bitte tragen Sie hier, falls zutreffend, das Kürzel </t>
        </r>
        <r>
          <rPr>
            <b/>
            <sz val="8"/>
            <color indexed="81"/>
            <rFont val="Tahoma"/>
            <family val="2"/>
          </rPr>
          <t>BA</t>
        </r>
        <r>
          <rPr>
            <sz val="8"/>
            <color indexed="81"/>
            <rFont val="Tahoma"/>
            <family val="2"/>
          </rPr>
          <t xml:space="preserve"> für Abwesenheiten ein, bei denen trotz Abwesenheit eine Entgeldfortzahlung besteht.
Dies ist der Fall bei Krankheit, Urlaub oder einem gesetzlichen Feiertag. Ein Feiertagskalender ist hinterlegt.
BA = bezahlte Abwesenheit
</t>
        </r>
      </text>
    </comment>
    <comment ref="E21" authorId="1" shapeId="0">
      <text>
        <r>
          <rPr>
            <sz val="8"/>
            <color indexed="81"/>
            <rFont val="Tahoma"/>
            <family val="2"/>
          </rPr>
          <t xml:space="preserve">Wöchentliche Arbeitszeit ./. Anzahl der Arbeitstage
bzw.
Individuelle Soll-Vorgabe
</t>
        </r>
      </text>
    </comment>
    <comment ref="F21" authorId="1" shapeId="0">
      <text>
        <r>
          <rPr>
            <sz val="8"/>
            <color indexed="81"/>
            <rFont val="Tahoma"/>
            <family val="2"/>
          </rPr>
          <t xml:space="preserve">Beginn der Arbeitszeit
Eingabe der Uhrzeit in Stunden und Minuten, durch Doppelpunkt getrennt (Bsp. 7:30 Uhr)
</t>
        </r>
      </text>
    </comment>
    <comment ref="G21" authorId="1" shapeId="0">
      <text>
        <r>
          <rPr>
            <sz val="8"/>
            <color indexed="81"/>
            <rFont val="Tahoma"/>
            <family val="2"/>
          </rPr>
          <t xml:space="preserve">Bitte tragen Sie hier die </t>
        </r>
        <r>
          <rPr>
            <b/>
            <sz val="8"/>
            <color indexed="81"/>
            <rFont val="Tahoma"/>
            <family val="2"/>
          </rPr>
          <t>SUMME</t>
        </r>
        <r>
          <rPr>
            <sz val="8"/>
            <color indexed="81"/>
            <rFont val="Tahoma"/>
            <family val="2"/>
          </rPr>
          <t xml:space="preserve"> aller Pausen am Tag ein. 
Eingabe in Stunden und Minuten, getrennt durch Doppelpunkt
Bsp.
30 Minuten Pause --&gt; Eingabe: 0:30    
60 Minuten Pause = 1 Stunde Pause --&gt; Eingabe: 1:00  
90 Minuten Pause = 1 Stunde 30 Minuten Pause --&gt; Eingabe: 1:30
</t>
        </r>
      </text>
    </comment>
    <comment ref="H21" authorId="1" shapeId="0">
      <text>
        <r>
          <rPr>
            <sz val="8"/>
            <color indexed="81"/>
            <rFont val="Tahoma"/>
            <family val="2"/>
          </rPr>
          <t xml:space="preserve">Ende der Arbeitszeit
Eingabe der Uhrzeit in Stunden und Minuten, durch Doppelpunkt getrennt (Bsp. 7:30 Uhr)
</t>
        </r>
      </text>
    </comment>
    <comment ref="I21" authorId="1" shapeId="0">
      <text>
        <r>
          <rPr>
            <sz val="8"/>
            <color indexed="81"/>
            <rFont val="Tahoma"/>
            <family val="2"/>
          </rPr>
          <t xml:space="preserve">Ist-Stunden
(wird automatisch berechnet)
Differenz zwischen Ende und Beginn der Arbeitszeit 
abzüglich Pause/n
zzgl. Zeitgutschrift für Abwesenheitszeiten
</t>
        </r>
      </text>
    </comment>
    <comment ref="J21" authorId="1" shapeId="0">
      <text>
        <r>
          <rPr>
            <sz val="8"/>
            <color indexed="81"/>
            <rFont val="Tahoma"/>
            <family val="2"/>
          </rPr>
          <t>Tagessaldo</t>
        </r>
      </text>
    </comment>
    <comment ref="K21" authorId="1" shapeId="0">
      <text>
        <r>
          <rPr>
            <sz val="8"/>
            <color indexed="81"/>
            <rFont val="Tahoma"/>
            <family val="2"/>
          </rPr>
          <t>Flexstunden = Summe der Tagessalden und Übertrag aus dem Vormonat</t>
        </r>
      </text>
    </comment>
  </commentList>
</comments>
</file>

<file path=xl/comments10.xml><?xml version="1.0" encoding="utf-8"?>
<comments xmlns="http://schemas.openxmlformats.org/spreadsheetml/2006/main">
  <authors>
    <author>Dumke, Andreas</author>
    <author>Stefan Hein</author>
  </authors>
  <commentList>
    <comment ref="C21" authorId="0" shapeId="0">
      <text>
        <r>
          <rPr>
            <sz val="8"/>
            <color indexed="81"/>
            <rFont val="Tahoma"/>
            <family val="2"/>
          </rPr>
          <t xml:space="preserve">Bitte tragen Sie hier, falls zutreffend, das Kürzel </t>
        </r>
        <r>
          <rPr>
            <b/>
            <sz val="8"/>
            <color indexed="81"/>
            <rFont val="Tahoma"/>
            <family val="2"/>
          </rPr>
          <t>BA</t>
        </r>
        <r>
          <rPr>
            <sz val="8"/>
            <color indexed="81"/>
            <rFont val="Tahoma"/>
            <family val="2"/>
          </rPr>
          <t xml:space="preserve"> für Abwesenheiten ein, bei denen trotz Abwesenheit eine Entgeldfortzahlung besteht.
Dies ist der Fall bei Krankheit, Urlaub oder einem gesetzlichen Feiertag. Ein Feiertagskalender ist hinterlegt.
BA = bezahlte Abwesenheit
</t>
        </r>
      </text>
    </comment>
    <comment ref="E21" authorId="1" shapeId="0">
      <text>
        <r>
          <rPr>
            <sz val="8"/>
            <color indexed="81"/>
            <rFont val="Tahoma"/>
            <family val="2"/>
          </rPr>
          <t xml:space="preserve">Wöchentliche Arbeitszeit ./. Anzahl der Arbeitstage
bzw.
Individuelle Soll-Vorgabe
</t>
        </r>
      </text>
    </comment>
    <comment ref="F21" authorId="1" shapeId="0">
      <text>
        <r>
          <rPr>
            <sz val="8"/>
            <color indexed="81"/>
            <rFont val="Tahoma"/>
            <family val="2"/>
          </rPr>
          <t xml:space="preserve">Beginn der Arbeitszeit
Eingabe der Uhrzeit in Stunden und Minuten, durch Doppelpunkt getrennt (Bsp. 7:30 Uhr)
</t>
        </r>
      </text>
    </comment>
    <comment ref="G21" authorId="1" shapeId="0">
      <text>
        <r>
          <rPr>
            <sz val="8"/>
            <color indexed="81"/>
            <rFont val="Tahoma"/>
            <family val="2"/>
          </rPr>
          <t xml:space="preserve">Bitte tragen Sie hier die </t>
        </r>
        <r>
          <rPr>
            <b/>
            <sz val="8"/>
            <color indexed="81"/>
            <rFont val="Tahoma"/>
            <family val="2"/>
          </rPr>
          <t>SUMME</t>
        </r>
        <r>
          <rPr>
            <sz val="8"/>
            <color indexed="81"/>
            <rFont val="Tahoma"/>
            <family val="2"/>
          </rPr>
          <t xml:space="preserve"> aller Pausen am Tag ein. 
Eingabe in Stunden und Minuten, getrennt durch Doppelpunkt
Bsp.
30 Minuten Pause --&gt; Eingabe: 0:30    
60 Minuten Pause = 1 Stunde Pause --&gt; Eingabe: 1:00  
90 Minuten Pause = 1 Stunde 30 Minuten Pause --&gt; Eingabe: 1:30
</t>
        </r>
      </text>
    </comment>
    <comment ref="H21" authorId="1" shapeId="0">
      <text>
        <r>
          <rPr>
            <sz val="8"/>
            <color indexed="81"/>
            <rFont val="Tahoma"/>
            <family val="2"/>
          </rPr>
          <t xml:space="preserve">Ende der Arbeitszeit
Eingabe der Uhrzeit in Stunden und Minuten, durch Doppelpunkt getrennt (Bsp. 7:30 Uhr)
</t>
        </r>
      </text>
    </comment>
    <comment ref="I21" authorId="1" shapeId="0">
      <text>
        <r>
          <rPr>
            <sz val="8"/>
            <color indexed="81"/>
            <rFont val="Tahoma"/>
            <family val="2"/>
          </rPr>
          <t xml:space="preserve">Ist-Stunden
(wird automatisch berechnet)
Differenz zwischen Ende und Beginn der Arbeitszeit 
abzüglich Pause/n
zzgl. Zeitgutschrift für Abwesenheitszeiten
</t>
        </r>
      </text>
    </comment>
    <comment ref="J21" authorId="1" shapeId="0">
      <text>
        <r>
          <rPr>
            <sz val="8"/>
            <color indexed="81"/>
            <rFont val="Tahoma"/>
            <family val="2"/>
          </rPr>
          <t>Tagessaldo</t>
        </r>
      </text>
    </comment>
    <comment ref="K21" authorId="1" shapeId="0">
      <text>
        <r>
          <rPr>
            <sz val="8"/>
            <color indexed="81"/>
            <rFont val="Tahoma"/>
            <family val="2"/>
          </rPr>
          <t>Flexstunden = Summe der Tagessalden und Übertrag aus dem Vormonat</t>
        </r>
      </text>
    </comment>
  </commentList>
</comments>
</file>

<file path=xl/comments11.xml><?xml version="1.0" encoding="utf-8"?>
<comments xmlns="http://schemas.openxmlformats.org/spreadsheetml/2006/main">
  <authors>
    <author>Dumke, Andreas</author>
    <author>Stefan Hein</author>
  </authors>
  <commentList>
    <comment ref="C21" authorId="0" shapeId="0">
      <text>
        <r>
          <rPr>
            <sz val="8"/>
            <color indexed="81"/>
            <rFont val="Tahoma"/>
            <family val="2"/>
          </rPr>
          <t xml:space="preserve">Bitte tragen Sie hier, falls zutreffend, das Kürzel </t>
        </r>
        <r>
          <rPr>
            <b/>
            <sz val="8"/>
            <color indexed="81"/>
            <rFont val="Tahoma"/>
            <family val="2"/>
          </rPr>
          <t>BA</t>
        </r>
        <r>
          <rPr>
            <sz val="8"/>
            <color indexed="81"/>
            <rFont val="Tahoma"/>
            <family val="2"/>
          </rPr>
          <t xml:space="preserve"> für Abwesenheiten ein, bei denen trotz Abwesenheit eine Entgeldfortzahlung besteht.
Dies ist der Fall bei Krankheit, Urlaub oder einem gesetzlichen Feiertag. Ein Feiertagskalender ist hinterlegt.
BA = bezahlte Abwesenheit
</t>
        </r>
      </text>
    </comment>
    <comment ref="E21" authorId="1" shapeId="0">
      <text>
        <r>
          <rPr>
            <sz val="8"/>
            <color indexed="81"/>
            <rFont val="Tahoma"/>
            <family val="2"/>
          </rPr>
          <t xml:space="preserve">Wöchentliche Arbeitszeit ./. Anzahl der Arbeitstage
bzw.
Individuelle Soll-Vorgabe
</t>
        </r>
      </text>
    </comment>
    <comment ref="F21" authorId="1" shapeId="0">
      <text>
        <r>
          <rPr>
            <sz val="8"/>
            <color indexed="81"/>
            <rFont val="Tahoma"/>
            <family val="2"/>
          </rPr>
          <t>Beginn der Arbeitszeit
Eingabe der Uhrzeit in Stunden und Minuten, durch Doppelpunkt getrennt (Bsp. 7:30 Uhr)</t>
        </r>
      </text>
    </comment>
    <comment ref="G21" authorId="1" shapeId="0">
      <text>
        <r>
          <rPr>
            <sz val="8"/>
            <color indexed="81"/>
            <rFont val="Tahoma"/>
            <family val="2"/>
          </rPr>
          <t xml:space="preserve">Bitte tragen Sie hier die </t>
        </r>
        <r>
          <rPr>
            <b/>
            <sz val="8"/>
            <color indexed="81"/>
            <rFont val="Tahoma"/>
            <family val="2"/>
          </rPr>
          <t>SUMME</t>
        </r>
        <r>
          <rPr>
            <sz val="8"/>
            <color indexed="81"/>
            <rFont val="Tahoma"/>
            <family val="2"/>
          </rPr>
          <t xml:space="preserve"> aller Pausen am Tag ein. 
Eingabe in Stunden und Minuten, getrennt durch Doppelpunkt
Bsp.
30 Minuten Pause --&gt; Eingabe: 0:30    
60 Minuten Pause = 1 Stunde Pause --&gt; Eingabe: 1:00  
90 Minuten Pause = 1 Stunde 30 Minuten Pause --&gt; Eingabe: 1:30
</t>
        </r>
      </text>
    </comment>
    <comment ref="H21" authorId="1" shapeId="0">
      <text>
        <r>
          <rPr>
            <sz val="8"/>
            <color indexed="81"/>
            <rFont val="Tahoma"/>
            <family val="2"/>
          </rPr>
          <t>Ende der Arbeitszeit
Eingabe der Uhrzeit in Stunden und Minuten, durch Doppelpunkt getrennt (Bsp. 7:30 Uhr)</t>
        </r>
        <r>
          <rPr>
            <b/>
            <sz val="8"/>
            <color indexed="81"/>
            <rFont val="Tahoma"/>
            <family val="2"/>
          </rPr>
          <t xml:space="preserve">
</t>
        </r>
        <r>
          <rPr>
            <sz val="8"/>
            <color indexed="81"/>
            <rFont val="Tahoma"/>
            <family val="2"/>
          </rPr>
          <t xml:space="preserve">
</t>
        </r>
      </text>
    </comment>
    <comment ref="I21" authorId="1" shapeId="0">
      <text>
        <r>
          <rPr>
            <sz val="8"/>
            <color indexed="81"/>
            <rFont val="Tahoma"/>
            <family val="2"/>
          </rPr>
          <t xml:space="preserve">Ist-Stunden
(wird automatisch berechnet)
Differenz zwischen Ende und Beginn der Arbeitszeit 
abzüglich Pause/n
zzgl. Zeitgutschrift für Abwesenheitszeiten
</t>
        </r>
      </text>
    </comment>
    <comment ref="J21" authorId="1" shapeId="0">
      <text>
        <r>
          <rPr>
            <sz val="8"/>
            <color indexed="81"/>
            <rFont val="Tahoma"/>
            <family val="2"/>
          </rPr>
          <t>Tagessaldo</t>
        </r>
      </text>
    </comment>
    <comment ref="K21" authorId="1" shapeId="0">
      <text>
        <r>
          <rPr>
            <sz val="8"/>
            <color indexed="81"/>
            <rFont val="Tahoma"/>
            <family val="2"/>
          </rPr>
          <t>Flexstunden = Summe der Tagessalden und Übertrag aus dem Vormonat</t>
        </r>
      </text>
    </comment>
  </commentList>
</comments>
</file>

<file path=xl/comments12.xml><?xml version="1.0" encoding="utf-8"?>
<comments xmlns="http://schemas.openxmlformats.org/spreadsheetml/2006/main">
  <authors>
    <author>Dumke, Andreas</author>
    <author>Stefan Hein</author>
  </authors>
  <commentList>
    <comment ref="C21" authorId="0" shapeId="0">
      <text>
        <r>
          <rPr>
            <sz val="8"/>
            <color indexed="81"/>
            <rFont val="Tahoma"/>
            <family val="2"/>
          </rPr>
          <t xml:space="preserve">Bitte tragen Sie hier, falls zutreffend, das Kürzel </t>
        </r>
        <r>
          <rPr>
            <b/>
            <sz val="8"/>
            <color indexed="81"/>
            <rFont val="Tahoma"/>
            <family val="2"/>
          </rPr>
          <t>BA</t>
        </r>
        <r>
          <rPr>
            <sz val="8"/>
            <color indexed="81"/>
            <rFont val="Tahoma"/>
            <family val="2"/>
          </rPr>
          <t xml:space="preserve"> für Abwesenheiten ein, bei denen trotz Abwesenheit eine Entgeldfortzahlung besteht.
Dies ist der Fall bei Krankheit, Urlaub oder einem gesetzlichen Feiertag. Ein Feiertagskalender ist hinterlegt.
BA = bezahlte Abwesenheit
</t>
        </r>
      </text>
    </comment>
    <comment ref="E21" authorId="1" shapeId="0">
      <text>
        <r>
          <rPr>
            <sz val="8"/>
            <color indexed="81"/>
            <rFont val="Tahoma"/>
            <family val="2"/>
          </rPr>
          <t xml:space="preserve">Wöchentliche Arbeitszeit ./. Anzahl der Arbeitstage
bzw.
Individuelle Soll-Vorgabe
</t>
        </r>
      </text>
    </comment>
    <comment ref="F21" authorId="1" shapeId="0">
      <text>
        <r>
          <rPr>
            <sz val="8"/>
            <color indexed="81"/>
            <rFont val="Tahoma"/>
            <family val="2"/>
          </rPr>
          <t>Beginn der Arbeitszeit
Eingabe der Uhrzeit in Stunden und Minuten, durch Doppelpunkt getrennt (Bsp. 7:30 Uhr)</t>
        </r>
      </text>
    </comment>
    <comment ref="G21" authorId="1" shapeId="0">
      <text>
        <r>
          <rPr>
            <sz val="8"/>
            <color indexed="81"/>
            <rFont val="Tahoma"/>
            <family val="2"/>
          </rPr>
          <t xml:space="preserve">Bitte tragen Sie hier die </t>
        </r>
        <r>
          <rPr>
            <b/>
            <sz val="8"/>
            <color indexed="81"/>
            <rFont val="Tahoma"/>
            <family val="2"/>
          </rPr>
          <t>SUMME</t>
        </r>
        <r>
          <rPr>
            <sz val="8"/>
            <color indexed="81"/>
            <rFont val="Tahoma"/>
            <family val="2"/>
          </rPr>
          <t xml:space="preserve"> aller Pausen am Tag ein. 
Eingabe in Stunden und Minuten, getrennt durch Doppelpunkt
Bsp.
30 Minuten Pause --&gt; Eingabe: 0:30    
60 Minuten Pause = 1 Stunde Pause --&gt; Eingabe: 1:00  
90 Minuten Pause = 1 Stunde 30 Minuten Pause --&gt; Eingabe: 1:30
</t>
        </r>
      </text>
    </comment>
    <comment ref="H21" authorId="1" shapeId="0">
      <text>
        <r>
          <rPr>
            <sz val="8"/>
            <color indexed="81"/>
            <rFont val="Tahoma"/>
            <family val="2"/>
          </rPr>
          <t xml:space="preserve">Ende der Arbeitszeit
Eingabe der Uhrzeit in Stunden und Minuten, durch Doppelpunkt getrennt (Bsp. 7:30 Uhr)
</t>
        </r>
      </text>
    </comment>
    <comment ref="I21" authorId="1" shapeId="0">
      <text>
        <r>
          <rPr>
            <sz val="8"/>
            <color indexed="81"/>
            <rFont val="Tahoma"/>
            <family val="2"/>
          </rPr>
          <t xml:space="preserve">Ist-Stunden
(wird automatisch berechnet)
Differenz zwischen Ende und Beginn der Arbeitszeit 
abzüglich Pause/n
zzgl. Zeitgutschrift für Abwesenheitszeiten
</t>
        </r>
      </text>
    </comment>
    <comment ref="J21" authorId="1" shapeId="0">
      <text>
        <r>
          <rPr>
            <sz val="8"/>
            <color indexed="81"/>
            <rFont val="Tahoma"/>
            <family val="2"/>
          </rPr>
          <t>Tagessaldo</t>
        </r>
      </text>
    </comment>
    <comment ref="K21" authorId="1" shapeId="0">
      <text>
        <r>
          <rPr>
            <sz val="8"/>
            <color indexed="81"/>
            <rFont val="Tahoma"/>
            <family val="2"/>
          </rPr>
          <t>Flexstunden = Summe der Tagessalden und Übertrag aus dem Vormonat</t>
        </r>
      </text>
    </comment>
  </commentList>
</comments>
</file>

<file path=xl/sharedStrings.xml><?xml version="1.0" encoding="utf-8"?>
<sst xmlns="http://schemas.openxmlformats.org/spreadsheetml/2006/main" count="873" uniqueCount="88">
  <si>
    <t>Tag</t>
  </si>
  <si>
    <t>Beginn</t>
  </si>
  <si>
    <t>Ende</t>
  </si>
  <si>
    <t xml:space="preserve">Name, Vorname: </t>
  </si>
  <si>
    <t>Datum</t>
  </si>
  <si>
    <t>Unterschrift Arbeitnehmer/in</t>
  </si>
  <si>
    <t>Pause/n</t>
  </si>
  <si>
    <t>Beschäftigt als:</t>
  </si>
  <si>
    <t>Art</t>
  </si>
  <si>
    <t>Arbeitszeitkonto für den Monat:</t>
  </si>
  <si>
    <t>Januar</t>
  </si>
  <si>
    <t>Soll</t>
  </si>
  <si>
    <t>Montag</t>
  </si>
  <si>
    <t>Dienstag</t>
  </si>
  <si>
    <t>Mittwoch</t>
  </si>
  <si>
    <t>Donnerstag</t>
  </si>
  <si>
    <t>Freitag</t>
  </si>
  <si>
    <t>IST</t>
  </si>
  <si>
    <t>SOLL</t>
  </si>
  <si>
    <t>FLEX</t>
  </si>
  <si>
    <t>Ist</t>
  </si>
  <si>
    <t>+ / - Tag</t>
  </si>
  <si>
    <t>hh,mm</t>
  </si>
  <si>
    <t>Dezimal</t>
  </si>
  <si>
    <t>Dezima</t>
  </si>
  <si>
    <t>Angaben im Dezimalformat</t>
  </si>
  <si>
    <t>Gesamt</t>
  </si>
  <si>
    <t>Flex Gesamt</t>
  </si>
  <si>
    <t>Flex Monat</t>
  </si>
  <si>
    <t>Vorgaben im Dezimalformat</t>
  </si>
  <si>
    <t>Wöchentl. Arbeitszeit:</t>
  </si>
  <si>
    <t>Februar</t>
  </si>
  <si>
    <t>März</t>
  </si>
  <si>
    <t>April</t>
  </si>
  <si>
    <t>Mai</t>
  </si>
  <si>
    <t>Juni</t>
  </si>
  <si>
    <t>Juli</t>
  </si>
  <si>
    <t>August</t>
  </si>
  <si>
    <t>September</t>
  </si>
  <si>
    <t>Oktober</t>
  </si>
  <si>
    <t>November</t>
  </si>
  <si>
    <t>Dezember</t>
  </si>
  <si>
    <t>SOLL pro Tag:</t>
  </si>
  <si>
    <t>5 Tage Woche</t>
  </si>
  <si>
    <t>individuell</t>
  </si>
  <si>
    <t>Summe</t>
  </si>
  <si>
    <t>letzte Änderung:</t>
  </si>
  <si>
    <t>gültig ab:</t>
  </si>
  <si>
    <t>Wöchentl. Arbeitszeit NEU:</t>
  </si>
  <si>
    <t>SOLL pro Tag NEU:</t>
  </si>
  <si>
    <t>Neujahr</t>
  </si>
  <si>
    <t>Karfreitag</t>
  </si>
  <si>
    <t>Ostersonntag</t>
  </si>
  <si>
    <t>Ostermontag</t>
  </si>
  <si>
    <t>Tag der Arbeit</t>
  </si>
  <si>
    <t>Christi Himmelfahrt</t>
  </si>
  <si>
    <t>Pfingstmontag</t>
  </si>
  <si>
    <t>Fronleichnam</t>
  </si>
  <si>
    <t>Tag der Deutschen Einheit</t>
  </si>
  <si>
    <t>Allerheiligen</t>
  </si>
  <si>
    <t>Heiligabend</t>
  </si>
  <si>
    <t>1. Weihnachtsfeiertag</t>
  </si>
  <si>
    <t>2. Weihnachtsfeiertag</t>
  </si>
  <si>
    <t>Silvester</t>
  </si>
  <si>
    <t>Feiertage</t>
  </si>
  <si>
    <t>Hochschuleinrichtung:</t>
  </si>
  <si>
    <t>Bestätigung durch Fachvorgesetzten</t>
  </si>
  <si>
    <r>
      <rPr>
        <b/>
        <sz val="11"/>
        <color indexed="9"/>
        <rFont val="Calibri"/>
        <family val="2"/>
      </rPr>
      <t>Arbeitszeit</t>
    </r>
    <r>
      <rPr>
        <b/>
        <sz val="11"/>
        <color indexed="13"/>
        <rFont val="Calibri"/>
        <family val="2"/>
      </rPr>
      <t xml:space="preserve"> in hh:mm</t>
    </r>
  </si>
  <si>
    <t>Arbeitszeitkonto für das Jahr:</t>
  </si>
  <si>
    <t>Übertrag Vorjahr:</t>
  </si>
  <si>
    <t>Pfingstsonntag</t>
  </si>
  <si>
    <t>Tätigkeit</t>
  </si>
  <si>
    <t>wöchentl. Arbeitszeit</t>
  </si>
  <si>
    <t>Projekt</t>
  </si>
  <si>
    <t>Übertrag Flex</t>
  </si>
  <si>
    <t>unzulässige Stundenzahl</t>
  </si>
  <si>
    <t>Überschreitung Monatsarbeitszeit &gt;50%</t>
  </si>
  <si>
    <t>BA</t>
  </si>
  <si>
    <r>
      <rPr>
        <b/>
        <u/>
        <sz val="14"/>
        <color theme="1"/>
        <rFont val="Frutiger LT Com 45 Light"/>
      </rPr>
      <t>Rechtliche Rahmenbedingungen:</t>
    </r>
    <r>
      <rPr>
        <sz val="11"/>
        <color theme="1"/>
        <rFont val="Frutiger LT Com 45 Light"/>
        <family val="2"/>
      </rPr>
      <t xml:space="preserve">
</t>
    </r>
    <r>
      <rPr>
        <sz val="11"/>
        <color rgb="FFFF0000"/>
        <rFont val="Frutiger LT Com 45 Light"/>
      </rPr>
      <t>Die Regelungen des Arbeitszeitgesetzes (ArbZG) sind jederzeit zu beachten!</t>
    </r>
    <r>
      <rPr>
        <sz val="11"/>
        <color theme="1"/>
        <rFont val="Frutiger LT Com 45 Light"/>
        <family val="2"/>
      </rPr>
      <t xml:space="preserve">
</t>
    </r>
    <r>
      <rPr>
        <u/>
        <sz val="11"/>
        <color theme="1"/>
        <rFont val="Frutiger LT Com 45 Light"/>
      </rPr>
      <t>Auszug aus dem Gesetz (Stand: Jan. 2015)</t>
    </r>
    <r>
      <rPr>
        <sz val="11"/>
        <color theme="1"/>
        <rFont val="Frutiger LT Com 45 Light"/>
        <family val="2"/>
      </rPr>
      <t xml:space="preserve">
</t>
    </r>
    <r>
      <rPr>
        <b/>
        <sz val="11"/>
        <color theme="1"/>
        <rFont val="Frutiger LT Com 45 Light"/>
      </rPr>
      <t>§ 3: Arbeitszeit</t>
    </r>
    <r>
      <rPr>
        <sz val="11"/>
        <color theme="1"/>
        <rFont val="Frutiger LT Com 45 Light"/>
        <family val="2"/>
      </rPr>
      <t xml:space="preserve">
- die tägliche Arbeitszeit darf 10 Stunden nicht überschreiten
- die wöchentliche Arbeitszeit darf 48 Stunden nicht überschreiten
</t>
    </r>
    <r>
      <rPr>
        <b/>
        <sz val="11"/>
        <color theme="1"/>
        <rFont val="Frutiger LT Com 45 Light"/>
      </rPr>
      <t>§ 4: Ruhepausen</t>
    </r>
    <r>
      <rPr>
        <sz val="11"/>
        <color theme="1"/>
        <rFont val="Frutiger LT Com 45 Light"/>
        <family val="2"/>
      </rPr>
      <t xml:space="preserve">
- mindestens 30 Minuten Pause bei einer Arbeitszeit von mehr als 6 bis zu 9 Stunden
- weitere 15 Minuten Pause bei einer Arbeitszeit von mehr als 9 Stunden
</t>
    </r>
    <r>
      <rPr>
        <b/>
        <sz val="11"/>
        <color theme="1"/>
        <rFont val="Frutiger LT Com 45 Light"/>
      </rPr>
      <t>§ 5: Ruhezeit</t>
    </r>
    <r>
      <rPr>
        <sz val="11"/>
        <color theme="1"/>
        <rFont val="Frutiger LT Com 45 Light"/>
        <family val="2"/>
      </rPr>
      <t xml:space="preserve">
- nach Beendigung der täglichen Arbeitszeit ist eine Ruhezeit von mindestens 11 Stunden vor Beginn der nächsten Arbeitszeit einzuhalten
</t>
    </r>
  </si>
  <si>
    <t xml:space="preserve"> </t>
  </si>
  <si>
    <t>(nur bei Stundenänderung oder Änderung der Arbeitstage bzw. Beschäftigungsbeginn innerhalb des Monats auszufüllen)</t>
  </si>
  <si>
    <t>Wochenendarbeit</t>
  </si>
  <si>
    <t>Feiertagsarbeit</t>
  </si>
  <si>
    <t>Muster</t>
  </si>
  <si>
    <t>Hiwi</t>
  </si>
  <si>
    <r>
      <rPr>
        <b/>
        <u/>
        <sz val="14"/>
        <color theme="1"/>
        <rFont val="Frutiger LT Com 45 Light"/>
      </rPr>
      <t>Hinweise zur Nutzung des Formulars:</t>
    </r>
    <r>
      <rPr>
        <sz val="11"/>
        <color theme="1"/>
        <rFont val="Frutiger LT Com 45 Light"/>
        <family val="2"/>
      </rPr>
      <t xml:space="preserve">
Bitte tragen Sie in der Übersicht zunächst das </t>
    </r>
    <r>
      <rPr>
        <b/>
        <sz val="11"/>
        <color theme="1"/>
        <rFont val="Frutiger LT Com 45 Light"/>
      </rPr>
      <t>Jahr</t>
    </r>
    <r>
      <rPr>
        <sz val="11"/>
        <color theme="1"/>
        <rFont val="Frutiger LT Com 45 Light"/>
        <family val="2"/>
      </rPr>
      <t xml:space="preserve">, Ihren </t>
    </r>
    <r>
      <rPr>
        <b/>
        <sz val="11"/>
        <color theme="1"/>
        <rFont val="Frutiger LT Com 45 Light"/>
      </rPr>
      <t>Namen</t>
    </r>
    <r>
      <rPr>
        <sz val="11"/>
        <color theme="1"/>
        <rFont val="Frutiger LT Com 45 Light"/>
        <family val="2"/>
      </rPr>
      <t xml:space="preserve">, </t>
    </r>
    <r>
      <rPr>
        <b/>
        <sz val="11"/>
        <color theme="1"/>
        <rFont val="Frutiger LT Com 45 Light"/>
      </rPr>
      <t>Beschäftigungsbereich</t>
    </r>
    <r>
      <rPr>
        <sz val="11"/>
        <color theme="1"/>
        <rFont val="Frutiger LT Com 45 Light"/>
        <family val="2"/>
      </rPr>
      <t xml:space="preserve">, Ihr </t>
    </r>
    <r>
      <rPr>
        <b/>
        <sz val="11"/>
        <color theme="1"/>
        <rFont val="Frutiger LT Com 45 Light"/>
      </rPr>
      <t>Beschäftigungsverhältnis</t>
    </r>
    <r>
      <rPr>
        <sz val="11"/>
        <color theme="1"/>
        <rFont val="Frutiger LT Com 45 Light"/>
        <family val="2"/>
      </rPr>
      <t xml:space="preserve">, das </t>
    </r>
    <r>
      <rPr>
        <b/>
        <sz val="11"/>
        <color theme="1"/>
        <rFont val="Frutiger LT Com 45 Light"/>
      </rPr>
      <t>Projekt</t>
    </r>
    <r>
      <rPr>
        <sz val="11"/>
        <color theme="1"/>
        <rFont val="Frutiger LT Com 45 Light"/>
        <family val="2"/>
      </rPr>
      <t xml:space="preserve">, für das Sie eingestellt sind, Ihren </t>
    </r>
    <r>
      <rPr>
        <b/>
        <sz val="11"/>
        <color theme="1"/>
        <rFont val="Frutiger LT Com 45 Light"/>
      </rPr>
      <t>Flex-Übertrag</t>
    </r>
    <r>
      <rPr>
        <sz val="11"/>
        <color theme="1"/>
        <rFont val="Frutiger LT Com 45 Light"/>
        <family val="2"/>
      </rPr>
      <t xml:space="preserve"> aus dem 
Vorjahr sowie Ihre </t>
    </r>
    <r>
      <rPr>
        <b/>
        <sz val="11"/>
        <color theme="1"/>
        <rFont val="Frutiger LT Com 45 Light"/>
      </rPr>
      <t>Stundenzahl zu Beginn des Jahres</t>
    </r>
    <r>
      <rPr>
        <sz val="11"/>
        <color theme="1"/>
        <rFont val="Frutiger LT Com 45 Light"/>
        <family val="2"/>
      </rPr>
      <t xml:space="preserve"> ein.
Im Feld </t>
    </r>
    <r>
      <rPr>
        <b/>
        <sz val="11"/>
        <color theme="1"/>
        <rFont val="Frutiger LT Com 45 Light"/>
      </rPr>
      <t>wöchentl. Arbeitszeit</t>
    </r>
    <r>
      <rPr>
        <sz val="11"/>
        <color theme="1"/>
        <rFont val="Frutiger LT Com 45 Light"/>
        <family val="2"/>
      </rPr>
      <t xml:space="preserve"> im oberen Kasten tragen Sie bitte Ihre vertraglich vereinbarte Wochenarbeitszeit ein, wenn diese von der automatisch übernommenen Zeit abweicht.
Die Wochenarbeitszeit wird standardmäßig auf </t>
    </r>
    <r>
      <rPr>
        <b/>
        <sz val="11"/>
        <color theme="1"/>
        <rFont val="Frutiger LT Com 45 Light"/>
      </rPr>
      <t>5 Arbeitstage</t>
    </r>
    <r>
      <rPr>
        <sz val="11"/>
        <color theme="1"/>
        <rFont val="Frutiger LT Com 45 Light"/>
        <family val="2"/>
      </rPr>
      <t xml:space="preserve"> (Mo - Fr) verteilt. Wenn Sie eine hiervon abweichende Verteilung vereinbart haben, tragen Sie bitte Ihre indivduellen Soll-Zeiten in die Zeile 
</t>
    </r>
    <r>
      <rPr>
        <b/>
        <sz val="11"/>
        <color theme="1"/>
        <rFont val="Frutiger LT Com 45 Light"/>
      </rPr>
      <t>individuell</t>
    </r>
    <r>
      <rPr>
        <sz val="11"/>
        <color theme="1"/>
        <rFont val="Frutiger LT Com 45 Light"/>
        <family val="2"/>
      </rPr>
      <t xml:space="preserve"> ein. Beachten Sie bitte, dass die Summe der Soll-Stunden pro Tag dem Wert im Feld 
</t>
    </r>
    <r>
      <rPr>
        <b/>
        <sz val="11"/>
        <color theme="1"/>
        <rFont val="Frutiger LT Com 45 Light"/>
      </rPr>
      <t>wöchentl. Arbeitszeit</t>
    </r>
    <r>
      <rPr>
        <sz val="11"/>
        <color theme="1"/>
        <rFont val="Frutiger LT Com 45 Light"/>
        <family val="2"/>
      </rPr>
      <t xml:space="preserve"> entsprechen muss. 
Die eingetragenen Soll-Werte gelten für den gesamten Monat! Einzelne Abweichungen hiervon werden 
über das FLEX-Konto ausgeglichen.
      </t>
    </r>
    <r>
      <rPr>
        <i/>
        <sz val="11"/>
        <color theme="1"/>
        <rFont val="Frutiger LT Com 45 Light"/>
      </rPr>
      <t>Wenn Sie also bspw. Montag, Mittwoch, und Freitag als regelmäßige Arbeitstage eingetragen haben, 
      aber in einer Woche mal am Donnerstag anstatt Mittwoch arbeiten, dann werden die Minusstunden 
      vom Mittwoch am Donnerstag wieder ausgeglichen.</t>
    </r>
    <r>
      <rPr>
        <sz val="11"/>
        <color theme="1"/>
        <rFont val="Frutiger LT Com 45 Light"/>
        <family val="2"/>
      </rPr>
      <t xml:space="preserve">
Wenn sich im Laufe des Monats Ihre </t>
    </r>
    <r>
      <rPr>
        <b/>
        <sz val="11"/>
        <color theme="1"/>
        <rFont val="Frutiger LT Com 45 Light"/>
      </rPr>
      <t>vertraglich vereinbarte Wochenarbeitszeit</t>
    </r>
    <r>
      <rPr>
        <sz val="11"/>
        <color theme="1"/>
        <rFont val="Frutiger LT Com 45 Light"/>
        <family val="2"/>
      </rPr>
      <t xml:space="preserve"> ändert oder sich Ihre </t>
    </r>
    <r>
      <rPr>
        <b/>
        <sz val="11"/>
        <color theme="1"/>
        <rFont val="Frutiger LT Com 45 Light"/>
      </rPr>
      <t>regelmäßigen Arbeitstage</t>
    </r>
    <r>
      <rPr>
        <sz val="11"/>
        <color theme="1"/>
        <rFont val="Frutiger LT Com 45 Light"/>
        <family val="2"/>
      </rPr>
      <t xml:space="preserve"> ändern tragen Sie die neue Arbeitszeit und/oder die neuen Arbeitstage in den unteren Kasten ein. Hier müssen Sie dann auch eintragen, ab wann die Änderungen gültig sind. 
In den Spalten </t>
    </r>
    <r>
      <rPr>
        <b/>
        <sz val="11"/>
        <color theme="1"/>
        <rFont val="Frutiger LT Com 45 Light"/>
      </rPr>
      <t>Beginn</t>
    </r>
    <r>
      <rPr>
        <sz val="11"/>
        <color theme="1"/>
        <rFont val="Frutiger LT Com 45 Light"/>
        <family val="2"/>
      </rPr>
      <t xml:space="preserve"> und </t>
    </r>
    <r>
      <rPr>
        <b/>
        <sz val="11"/>
        <color theme="1"/>
        <rFont val="Frutiger LT Com 45 Light"/>
      </rPr>
      <t>Ende</t>
    </r>
    <r>
      <rPr>
        <sz val="11"/>
        <color theme="1"/>
        <rFont val="Frutiger LT Com 45 Light"/>
        <family val="2"/>
      </rPr>
      <t xml:space="preserve"> tragen Sie bitte jeweils Beginn und Ende der täglichen Arbeitszeit im Format hh:mm ein. Die Summe aller Pausen pro Tag tragen Sie bitte in die Spalte Pause/n ein.
      </t>
    </r>
    <r>
      <rPr>
        <i/>
        <sz val="11"/>
        <color theme="1"/>
        <rFont val="Frutiger LT Com 45 Light"/>
      </rPr>
      <t xml:space="preserve">Beginn </t>
    </r>
    <r>
      <rPr>
        <sz val="11"/>
        <color theme="1"/>
        <rFont val="Frutiger LT Com 45 Light"/>
        <family val="2"/>
      </rPr>
      <t xml:space="preserve">   8:00 Uhr                               </t>
    </r>
    <r>
      <rPr>
        <i/>
        <sz val="11"/>
        <color theme="1"/>
        <rFont val="Frutiger LT Com 45 Light"/>
      </rPr>
      <t>Ende</t>
    </r>
    <r>
      <rPr>
        <sz val="11"/>
        <color theme="1"/>
        <rFont val="Frutiger LT Com 45 Light"/>
        <family val="2"/>
      </rPr>
      <t xml:space="preserve">    14:25 Uhr 
      </t>
    </r>
    <r>
      <rPr>
        <b/>
        <sz val="11"/>
        <color theme="1"/>
        <rFont val="Frutiger LT Com 45 Light"/>
      </rPr>
      <t xml:space="preserve">Pause </t>
    </r>
    <r>
      <rPr>
        <sz val="11"/>
        <color theme="1"/>
        <rFont val="Frutiger LT Com 45 Light"/>
        <family val="2"/>
      </rPr>
      <t xml:space="preserve">
      30 Minuten Pause --&gt; Eingabe:</t>
    </r>
    <r>
      <rPr>
        <b/>
        <sz val="11"/>
        <color theme="1"/>
        <rFont val="Frutiger LT Com 45 Light"/>
      </rPr>
      <t xml:space="preserve"> 0:30</t>
    </r>
    <r>
      <rPr>
        <sz val="11"/>
        <color theme="1"/>
        <rFont val="Frutiger LT Com 45 Light"/>
        <family val="2"/>
      </rPr>
      <t xml:space="preserve">    
      60 Minuten Pause = 1 Stunde Pause --&gt; Eingabe: </t>
    </r>
    <r>
      <rPr>
        <b/>
        <sz val="11"/>
        <color theme="1"/>
        <rFont val="Frutiger LT Com 45 Light"/>
      </rPr>
      <t>1:00</t>
    </r>
    <r>
      <rPr>
        <sz val="11"/>
        <color theme="1"/>
        <rFont val="Frutiger LT Com 45 Light"/>
        <family val="2"/>
      </rPr>
      <t xml:space="preserve">   
      90 Minuten Pause = 1 Stunde 30 Minuten Pause --&gt; Eingabe: </t>
    </r>
    <r>
      <rPr>
        <b/>
        <sz val="11"/>
        <color theme="1"/>
        <rFont val="Frutiger LT Com 45 Light"/>
      </rPr>
      <t>1:30</t>
    </r>
    <r>
      <rPr>
        <sz val="11"/>
        <color theme="1"/>
        <rFont val="Frutiger LT Com 45 Light"/>
        <family val="2"/>
      </rPr>
      <t xml:space="preserve"> 
In der Spalte IST wird die tatsächliche Arbeitszeit pro Tag angezeigt. Die Spalte </t>
    </r>
    <r>
      <rPr>
        <b/>
        <sz val="11"/>
        <color theme="1"/>
        <rFont val="Frutiger LT Com 45 Light"/>
      </rPr>
      <t>+ / - Tag</t>
    </r>
    <r>
      <rPr>
        <sz val="11"/>
        <color theme="1"/>
        <rFont val="Frutiger LT Com 45 Light"/>
        <family val="2"/>
      </rPr>
      <t xml:space="preserve"> zeigt die tägliche Abweichung der tatsächlichen Arbeitszeit vom Tages-Soll an.
Die Spalte</t>
    </r>
    <r>
      <rPr>
        <b/>
        <sz val="11"/>
        <color theme="1"/>
        <rFont val="Frutiger LT Com 45 Light"/>
      </rPr>
      <t xml:space="preserve"> FLEX</t>
    </r>
    <r>
      <rPr>
        <sz val="11"/>
        <color theme="1"/>
        <rFont val="Frutiger LT Com 45 Light"/>
        <family val="2"/>
      </rPr>
      <t xml:space="preserve"> zeigt die Summe aller über die Vertragsstunden hinaus geleisteten Arbeitszeiten an. 
Diese Flex-Stunden müssen bis zum Vertragsende, aber spätestens innerhalb von 12 Monaten nach Erbringung der Arbeitsleistung ausgeglichen sein. Am Monatsende werden die Flex-Stunden aus dem 
Feld </t>
    </r>
    <r>
      <rPr>
        <b/>
        <sz val="11"/>
        <color theme="1"/>
        <rFont val="Frutiger LT Com 45 Light"/>
      </rPr>
      <t>Flex Gesamt</t>
    </r>
    <r>
      <rPr>
        <sz val="11"/>
        <color theme="1"/>
        <rFont val="Frutiger LT Com 45 Light"/>
        <family val="2"/>
      </rPr>
      <t xml:space="preserve"> automatisch in den Folgemonat übertragen. Sollten Stunden durch die 12-Monatsregel verfallen sein, können Sie den Übertragswert manuell korrigieren.
Es ist unbedingt zu beachten, dass nach den Regelungen des MiLoG die monatliche Sollarbeitszeit 
maximal um 50% überschritten werden darf. Sollte eine Überschreitung vorliegen, erfolgt ein Warnhinweis 
in der Tabelle und das Unterschriftsfeld des Fachvorgesetzten wird geschwärzt.
___________________________________________________
In der Spalte </t>
    </r>
    <r>
      <rPr>
        <b/>
        <sz val="11"/>
        <color theme="1"/>
        <rFont val="Frutiger LT Com 45 Light"/>
      </rPr>
      <t>Art</t>
    </r>
    <r>
      <rPr>
        <sz val="11"/>
        <color theme="1"/>
        <rFont val="Frutiger LT Com 45 Light"/>
        <family val="2"/>
      </rPr>
      <t xml:space="preserve"> können Sie Tage einsetzen, die als bezahlte Abwesenheit gelten (Kürzel </t>
    </r>
    <r>
      <rPr>
        <b/>
        <sz val="11"/>
        <color theme="1"/>
        <rFont val="Frutiger LT Com 45 Light"/>
      </rPr>
      <t>BA</t>
    </r>
    <r>
      <rPr>
        <sz val="11"/>
        <color theme="1"/>
        <rFont val="Frutiger LT Com 45 Light"/>
        <family val="2"/>
      </rPr>
      <t xml:space="preserve">). Dies ist 
der Fall, wenn ein regelmäßiger oder individueller Arbeitstag auf einen Feiertag fällt, krankheitsbedingt die Arbeitsleistung nicht erbracht werden kann oder ein Urlaubstag genommen wird.
Für die Feiertage wurde ein Feiertagskalender in der Zeiterfassungskarte hinterlegt, so dass diese Tage automatisch eingetragen werden.
</t>
    </r>
  </si>
  <si>
    <t>Innogy Abwasser</t>
  </si>
  <si>
    <t>Jansen, David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</si>
</sst>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64" formatCode="ddd\,\ dd;;"/>
    <numFmt numFmtId="165" formatCode="##&quot;:&quot;##"/>
    <numFmt numFmtId="166" formatCode="h:mm;@"/>
    <numFmt numFmtId="167" formatCode="[$-407]d/\ mmm/\ yy;@"/>
    <numFmt numFmtId="168" formatCode="[h]:mm"/>
    <numFmt numFmtId="169" formatCode="0.0000"/>
    <numFmt numFmtId="170" formatCode="0.0000000"/>
    <numFmt numFmtId="171" formatCode="0.000"/>
    <numFmt numFmtId="172" formatCode="dd/mm/yy;@"/>
  </numFmts>
  <fonts count="73">
    <font>
      <sz val="11"/>
      <color theme="1"/>
      <name val="Frutiger LT Com 45 Light"/>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9"/>
      <name val="Segoe UI Light"/>
      <family val="2"/>
    </font>
    <font>
      <sz val="8"/>
      <name val="Segoe UI Light"/>
      <family val="2"/>
    </font>
    <font>
      <sz val="8"/>
      <color indexed="81"/>
      <name val="Tahoma"/>
      <family val="2"/>
    </font>
    <font>
      <b/>
      <sz val="8"/>
      <color indexed="81"/>
      <name val="Tahoma"/>
      <family val="2"/>
    </font>
    <font>
      <sz val="6"/>
      <name val="Arial"/>
      <family val="2"/>
    </font>
    <font>
      <b/>
      <sz val="11"/>
      <color indexed="13"/>
      <name val="Calibri"/>
      <family val="2"/>
    </font>
    <font>
      <sz val="11"/>
      <name val="Frutiger LT Com 45 Light"/>
      <family val="2"/>
    </font>
    <font>
      <sz val="10"/>
      <name val="Frutiger LT Com 45 Light"/>
      <family val="2"/>
    </font>
    <font>
      <b/>
      <sz val="9"/>
      <color theme="0"/>
      <name val="Calibri"/>
      <family val="2"/>
      <scheme val="minor"/>
    </font>
    <font>
      <b/>
      <sz val="10"/>
      <color theme="0"/>
      <name val="Calibri"/>
      <family val="2"/>
      <scheme val="minor"/>
    </font>
    <font>
      <sz val="10"/>
      <color theme="1"/>
      <name val="Frutiger LT Com 45 Light"/>
      <family val="2"/>
    </font>
    <font>
      <sz val="11"/>
      <color theme="0"/>
      <name val="Calibri"/>
      <family val="2"/>
      <scheme val="minor"/>
    </font>
    <font>
      <b/>
      <sz val="11"/>
      <name val="Calibri"/>
      <family val="2"/>
      <scheme val="minor"/>
    </font>
    <font>
      <sz val="11"/>
      <color theme="1"/>
      <name val="Calibri"/>
      <family val="2"/>
      <scheme val="minor"/>
    </font>
    <font>
      <b/>
      <sz val="12"/>
      <color theme="1"/>
      <name val="Calibri"/>
      <family val="2"/>
      <scheme val="minor"/>
    </font>
    <font>
      <b/>
      <sz val="11"/>
      <color theme="1"/>
      <name val="Calibri"/>
      <family val="2"/>
      <scheme val="minor"/>
    </font>
    <font>
      <sz val="10"/>
      <color theme="1"/>
      <name val="Calibri"/>
      <family val="2"/>
      <scheme val="minor"/>
    </font>
    <font>
      <sz val="11"/>
      <name val="Calibri"/>
      <family val="2"/>
      <scheme val="minor"/>
    </font>
    <font>
      <sz val="10"/>
      <color theme="0"/>
      <name val="Calibri"/>
      <family val="2"/>
      <scheme val="minor"/>
    </font>
    <font>
      <sz val="10"/>
      <name val="Calibri"/>
      <family val="2"/>
      <scheme val="minor"/>
    </font>
    <font>
      <sz val="6"/>
      <color theme="0"/>
      <name val="Calibri"/>
      <family val="2"/>
      <scheme val="minor"/>
    </font>
    <font>
      <sz val="8"/>
      <color theme="0"/>
      <name val="Calibri"/>
      <family val="2"/>
      <scheme val="minor"/>
    </font>
    <font>
      <sz val="9"/>
      <name val="Calibri"/>
      <family val="2"/>
      <scheme val="minor"/>
    </font>
    <font>
      <b/>
      <sz val="9"/>
      <color theme="5" tint="-0.249977111117893"/>
      <name val="Calibri"/>
      <family val="2"/>
      <scheme val="minor"/>
    </font>
    <font>
      <b/>
      <sz val="10"/>
      <name val="Calibri"/>
      <family val="2"/>
      <scheme val="minor"/>
    </font>
    <font>
      <b/>
      <sz val="10"/>
      <color theme="0" tint="-0.34998626667073579"/>
      <name val="Calibri"/>
      <family val="2"/>
      <scheme val="minor"/>
    </font>
    <font>
      <sz val="8"/>
      <color theme="0" tint="-0.34998626667073579"/>
      <name val="Calibri"/>
      <family val="2"/>
    </font>
    <font>
      <sz val="9"/>
      <color theme="0" tint="-0.34998626667073579"/>
      <name val="Calibri"/>
      <family val="2"/>
      <scheme val="minor"/>
    </font>
    <font>
      <sz val="8"/>
      <color theme="1"/>
      <name val="Calibri"/>
      <family val="2"/>
      <scheme val="minor"/>
    </font>
    <font>
      <b/>
      <sz val="11"/>
      <color theme="0"/>
      <name val="Calibri"/>
      <family val="2"/>
      <scheme val="minor"/>
    </font>
    <font>
      <sz val="6"/>
      <color theme="0"/>
      <name val="Arial"/>
      <family val="2"/>
    </font>
    <font>
      <sz val="9"/>
      <color theme="0"/>
      <name val="Calibri"/>
      <family val="2"/>
      <scheme val="minor"/>
    </font>
    <font>
      <sz val="9"/>
      <color theme="0"/>
      <name val="Segoe UI Light"/>
      <family val="2"/>
    </font>
    <font>
      <sz val="8"/>
      <name val="Calibri"/>
      <family val="2"/>
      <scheme val="minor"/>
    </font>
    <font>
      <b/>
      <sz val="11"/>
      <color rgb="FFFF0000"/>
      <name val="Calibri"/>
      <family val="2"/>
      <scheme val="minor"/>
    </font>
    <font>
      <b/>
      <sz val="16"/>
      <color theme="1"/>
      <name val="Calibri"/>
      <family val="2"/>
      <scheme val="minor"/>
    </font>
    <font>
      <u/>
      <sz val="8"/>
      <color theme="0"/>
      <name val="Calibri"/>
      <family val="2"/>
      <scheme val="minor"/>
    </font>
    <font>
      <b/>
      <sz val="8"/>
      <color theme="0"/>
      <name val="Calibri"/>
      <family val="2"/>
      <scheme val="minor"/>
    </font>
    <font>
      <i/>
      <sz val="10"/>
      <color theme="1"/>
      <name val="Calibri"/>
      <family val="2"/>
      <scheme val="minor"/>
    </font>
    <font>
      <i/>
      <sz val="11"/>
      <color theme="1"/>
      <name val="Calibri"/>
      <family val="2"/>
      <scheme val="minor"/>
    </font>
    <font>
      <i/>
      <sz val="11"/>
      <color theme="1"/>
      <name val="Frutiger LT Com 45 Light"/>
      <family val="2"/>
    </font>
    <font>
      <b/>
      <i/>
      <sz val="11"/>
      <color theme="1"/>
      <name val="Calibri"/>
      <family val="2"/>
      <scheme val="minor"/>
    </font>
    <font>
      <i/>
      <sz val="8"/>
      <color theme="1"/>
      <name val="Calibri"/>
      <family val="2"/>
      <scheme val="minor"/>
    </font>
    <font>
      <i/>
      <sz val="8"/>
      <name val="Calibri"/>
      <family val="2"/>
      <scheme val="minor"/>
    </font>
    <font>
      <i/>
      <sz val="9"/>
      <name val="Calibri"/>
      <family val="2"/>
      <scheme val="minor"/>
    </font>
    <font>
      <i/>
      <sz val="10"/>
      <name val="Calibri"/>
      <family val="2"/>
      <scheme val="minor"/>
    </font>
    <font>
      <b/>
      <sz val="12"/>
      <name val="Calibri"/>
      <family val="2"/>
      <scheme val="minor"/>
    </font>
    <font>
      <i/>
      <sz val="11"/>
      <color theme="0"/>
      <name val="Calibri"/>
      <family val="2"/>
      <scheme val="minor"/>
    </font>
    <font>
      <sz val="11"/>
      <color rgb="FFFF0000"/>
      <name val="Calibri"/>
      <family val="2"/>
      <scheme val="minor"/>
    </font>
    <font>
      <sz val="10"/>
      <color rgb="FFFF0000"/>
      <name val="Calibri"/>
      <family val="2"/>
      <scheme val="minor"/>
    </font>
    <font>
      <b/>
      <sz val="9"/>
      <color rgb="FFFF0000"/>
      <name val="Calibri"/>
      <family val="2"/>
      <scheme val="minor"/>
    </font>
    <font>
      <sz val="6"/>
      <color rgb="FFFF0000"/>
      <name val="Arial"/>
      <family val="2"/>
    </font>
    <font>
      <sz val="9"/>
      <color rgb="FFFF0000"/>
      <name val="Calibri"/>
      <family val="2"/>
      <scheme val="minor"/>
    </font>
    <font>
      <sz val="9"/>
      <color rgb="FFFF0000"/>
      <name val="Segoe UI Light"/>
      <family val="2"/>
    </font>
    <font>
      <b/>
      <sz val="11"/>
      <color theme="5" tint="-0.249977111117893"/>
      <name val="Calibri"/>
      <family val="2"/>
      <scheme val="minor"/>
    </font>
    <font>
      <b/>
      <sz val="11"/>
      <color indexed="9"/>
      <name val="Calibri"/>
      <family val="2"/>
    </font>
    <font>
      <b/>
      <sz val="11"/>
      <color rgb="FFFFFF00"/>
      <name val="Calibri"/>
      <family val="2"/>
    </font>
    <font>
      <b/>
      <sz val="11"/>
      <color theme="1"/>
      <name val="Frutiger LT Com 45 Light"/>
    </font>
    <font>
      <b/>
      <sz val="8"/>
      <color theme="1"/>
      <name val="Calibri"/>
      <family val="2"/>
      <scheme val="minor"/>
    </font>
    <font>
      <sz val="8"/>
      <color theme="0"/>
      <name val="Segoe UI Light"/>
      <family val="2"/>
    </font>
    <font>
      <sz val="11"/>
      <color theme="0"/>
      <name val="Frutiger LT Com 45 Light"/>
      <family val="2"/>
    </font>
    <font>
      <u/>
      <sz val="11"/>
      <color theme="1"/>
      <name val="Frutiger LT Com 45 Light"/>
    </font>
    <font>
      <b/>
      <u/>
      <sz val="14"/>
      <color theme="1"/>
      <name val="Frutiger LT Com 45 Light"/>
    </font>
    <font>
      <sz val="11"/>
      <color rgb="FFFF0000"/>
      <name val="Frutiger LT Com 45 Light"/>
    </font>
    <font>
      <sz val="11"/>
      <color theme="1"/>
      <name val="Frutiger LT Com 45 Light"/>
    </font>
    <font>
      <i/>
      <sz val="11"/>
      <color theme="1"/>
      <name val="Frutiger LT Com 45 Light"/>
    </font>
  </fonts>
  <fills count="10">
    <fill>
      <patternFill patternType="none"/>
    </fill>
    <fill>
      <patternFill patternType="gray125"/>
    </fill>
    <fill>
      <patternFill patternType="solid">
        <fgColor theme="0" tint="-0.499984740745262"/>
        <bgColor indexed="64"/>
      </patternFill>
    </fill>
    <fill>
      <patternFill patternType="solid">
        <fgColor theme="0"/>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5" tint="-0.249977111117893"/>
        <bgColor indexed="64"/>
      </patternFill>
    </fill>
    <fill>
      <patternFill patternType="solid">
        <fgColor rgb="FFDAEEF3"/>
        <bgColor indexed="64"/>
      </patternFill>
    </fill>
    <fill>
      <patternFill patternType="solid">
        <fgColor rgb="FFFFFF00"/>
        <bgColor indexed="64"/>
      </patternFill>
    </fill>
  </fills>
  <borders count="52">
    <border>
      <left/>
      <right/>
      <top/>
      <bottom/>
      <diagonal/>
    </border>
    <border>
      <left/>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hair">
        <color indexed="64"/>
      </right>
      <top/>
      <bottom style="hair">
        <color indexed="64"/>
      </bottom>
      <diagonal/>
    </border>
    <border>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top style="hair">
        <color indexed="64"/>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thin">
        <color indexed="64"/>
      </top>
      <bottom style="hair">
        <color indexed="64"/>
      </bottom>
      <diagonal/>
    </border>
    <border>
      <left style="hair">
        <color indexed="64"/>
      </left>
      <right style="medium">
        <color indexed="64"/>
      </right>
      <top style="thin">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top style="hair">
        <color indexed="64"/>
      </top>
      <bottom style="medium">
        <color indexed="64"/>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s>
  <cellStyleXfs count="1">
    <xf numFmtId="0" fontId="0" fillId="0" borderId="0"/>
  </cellStyleXfs>
  <cellXfs count="287">
    <xf numFmtId="0" fontId="0" fillId="0" borderId="0" xfId="0"/>
    <xf numFmtId="0" fontId="15" fillId="2" borderId="2" xfId="0" applyFont="1" applyFill="1" applyBorder="1" applyAlignment="1" applyProtection="1">
      <alignment horizontal="center" vertical="center" wrapText="1"/>
    </xf>
    <xf numFmtId="0" fontId="15" fillId="2" borderId="1" xfId="0" quotePrefix="1" applyFont="1" applyFill="1" applyBorder="1" applyAlignment="1" applyProtection="1">
      <alignment horizontal="center" vertical="center"/>
    </xf>
    <xf numFmtId="0" fontId="0" fillId="0" borderId="0" xfId="0" applyProtection="1"/>
    <xf numFmtId="0" fontId="17" fillId="0" borderId="0" xfId="0" applyFont="1" applyProtection="1"/>
    <xf numFmtId="0" fontId="15" fillId="2" borderId="1" xfId="0" applyFont="1" applyFill="1" applyBorder="1" applyAlignment="1" applyProtection="1">
      <alignment horizontal="center" vertical="center" wrapText="1"/>
    </xf>
    <xf numFmtId="0" fontId="18" fillId="3" borderId="0" xfId="0" applyFont="1" applyFill="1" applyProtection="1"/>
    <xf numFmtId="0" fontId="0" fillId="3" borderId="0" xfId="0" applyFill="1" applyProtection="1"/>
    <xf numFmtId="0" fontId="19" fillId="3" borderId="0" xfId="0" applyFont="1" applyFill="1" applyBorder="1" applyAlignment="1" applyProtection="1">
      <alignment horizontal="center"/>
    </xf>
    <xf numFmtId="0" fontId="20" fillId="3" borderId="1" xfId="0" applyFont="1" applyFill="1" applyBorder="1" applyProtection="1"/>
    <xf numFmtId="0" fontId="21" fillId="3" borderId="0" xfId="0" applyFont="1" applyFill="1" applyBorder="1" applyAlignment="1" applyProtection="1">
      <alignment horizontal="center" vertical="top"/>
    </xf>
    <xf numFmtId="0" fontId="21" fillId="3" borderId="3" xfId="0" applyFont="1" applyFill="1" applyBorder="1" applyAlignment="1" applyProtection="1">
      <alignment horizontal="center" vertical="top"/>
    </xf>
    <xf numFmtId="0" fontId="21" fillId="3" borderId="5" xfId="0" applyFont="1" applyFill="1" applyBorder="1" applyAlignment="1" applyProtection="1">
      <alignment horizontal="center" vertical="top"/>
    </xf>
    <xf numFmtId="0" fontId="19" fillId="3" borderId="6" xfId="0" applyFont="1" applyFill="1" applyBorder="1" applyAlignment="1" applyProtection="1">
      <alignment horizontal="center"/>
    </xf>
    <xf numFmtId="0" fontId="22" fillId="3" borderId="7" xfId="0" applyFont="1" applyFill="1" applyBorder="1" applyAlignment="1" applyProtection="1">
      <alignment horizontal="left" vertical="center"/>
    </xf>
    <xf numFmtId="0" fontId="22" fillId="3" borderId="0" xfId="0" applyFont="1" applyFill="1" applyBorder="1" applyAlignment="1" applyProtection="1">
      <alignment vertical="center"/>
    </xf>
    <xf numFmtId="0" fontId="20" fillId="3" borderId="0" xfId="0" applyFont="1" applyFill="1" applyBorder="1" applyProtection="1"/>
    <xf numFmtId="0" fontId="20" fillId="3" borderId="8" xfId="0" applyFont="1" applyFill="1" applyBorder="1" applyAlignment="1" applyProtection="1">
      <alignment horizontal="center"/>
    </xf>
    <xf numFmtId="0" fontId="20" fillId="3" borderId="7" xfId="0" applyFont="1" applyFill="1" applyBorder="1" applyAlignment="1" applyProtection="1">
      <alignment horizontal="left" vertical="center"/>
    </xf>
    <xf numFmtId="0" fontId="20" fillId="3" borderId="0" xfId="0" applyFont="1" applyFill="1" applyBorder="1" applyAlignment="1" applyProtection="1">
      <alignment horizontal="left" vertical="center"/>
    </xf>
    <xf numFmtId="0" fontId="23"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20" fillId="3" borderId="0" xfId="0" applyFont="1" applyFill="1" applyBorder="1" applyAlignment="1" applyProtection="1">
      <alignment horizontal="center" vertical="center"/>
    </xf>
    <xf numFmtId="0" fontId="24" fillId="3" borderId="8" xfId="0" applyFont="1" applyFill="1" applyBorder="1" applyProtection="1"/>
    <xf numFmtId="0" fontId="24" fillId="3" borderId="0" xfId="0" applyFont="1" applyFill="1" applyProtection="1"/>
    <xf numFmtId="0" fontId="22" fillId="3" borderId="0" xfId="0" applyFont="1" applyFill="1" applyBorder="1" applyAlignment="1" applyProtection="1">
      <alignment horizontal="left" vertical="center"/>
    </xf>
    <xf numFmtId="0" fontId="23" fillId="3" borderId="0" xfId="0" applyFont="1" applyFill="1" applyBorder="1" applyAlignment="1" applyProtection="1">
      <alignment horizontal="center" vertical="center"/>
    </xf>
    <xf numFmtId="169" fontId="24" fillId="3" borderId="0" xfId="0" applyNumberFormat="1" applyFont="1" applyFill="1" applyBorder="1" applyAlignment="1" applyProtection="1">
      <alignment horizontal="center" vertical="center"/>
    </xf>
    <xf numFmtId="0" fontId="24" fillId="3" borderId="4" xfId="0" applyFont="1" applyFill="1" applyBorder="1" applyProtection="1"/>
    <xf numFmtId="14" fontId="18" fillId="3" borderId="0" xfId="0" applyNumberFormat="1" applyFont="1" applyFill="1" applyProtection="1"/>
    <xf numFmtId="14" fontId="25" fillId="3" borderId="0" xfId="0" applyNumberFormat="1" applyFont="1" applyFill="1" applyProtection="1"/>
    <xf numFmtId="14" fontId="27" fillId="3" borderId="0" xfId="0" applyNumberFormat="1" applyFont="1" applyFill="1" applyProtection="1"/>
    <xf numFmtId="0" fontId="28" fillId="3" borderId="0" xfId="0" applyFont="1" applyFill="1" applyProtection="1"/>
    <xf numFmtId="164" fontId="29" fillId="3" borderId="9" xfId="0" applyNumberFormat="1" applyFont="1" applyFill="1" applyBorder="1" applyAlignment="1" applyProtection="1">
      <alignment horizontal="center" vertical="center"/>
    </xf>
    <xf numFmtId="2" fontId="29" fillId="3" borderId="10" xfId="0" applyNumberFormat="1" applyFont="1" applyFill="1" applyBorder="1" applyAlignment="1" applyProtection="1">
      <alignment horizontal="center" vertical="center"/>
    </xf>
    <xf numFmtId="2" fontId="29" fillId="3" borderId="11" xfId="0" applyNumberFormat="1" applyFont="1" applyFill="1" applyBorder="1" applyAlignment="1" applyProtection="1">
      <alignment horizontal="center" vertical="center"/>
    </xf>
    <xf numFmtId="2" fontId="29" fillId="3" borderId="12" xfId="0" applyNumberFormat="1" applyFont="1" applyFill="1" applyBorder="1" applyAlignment="1" applyProtection="1">
      <alignment horizontal="center" vertical="center"/>
    </xf>
    <xf numFmtId="164" fontId="29" fillId="3" borderId="13" xfId="0" applyNumberFormat="1" applyFont="1" applyFill="1" applyBorder="1" applyAlignment="1" applyProtection="1">
      <alignment horizontal="center" vertical="center"/>
    </xf>
    <xf numFmtId="2" fontId="29" fillId="3" borderId="14" xfId="0" applyNumberFormat="1" applyFont="1" applyFill="1" applyBorder="1" applyAlignment="1" applyProtection="1">
      <alignment horizontal="center" vertical="center"/>
    </xf>
    <xf numFmtId="2" fontId="29" fillId="3" borderId="15" xfId="0" applyNumberFormat="1" applyFont="1" applyFill="1" applyBorder="1" applyAlignment="1" applyProtection="1">
      <alignment horizontal="center" vertical="center"/>
    </xf>
    <xf numFmtId="2" fontId="29" fillId="3" borderId="17" xfId="0" applyNumberFormat="1" applyFont="1" applyFill="1" applyBorder="1" applyAlignment="1" applyProtection="1">
      <alignment horizontal="center" vertical="center"/>
    </xf>
    <xf numFmtId="2" fontId="31" fillId="3" borderId="18" xfId="0" applyNumberFormat="1" applyFont="1" applyFill="1" applyBorder="1" applyAlignment="1" applyProtection="1">
      <alignment horizontal="center" vertical="center"/>
    </xf>
    <xf numFmtId="168" fontId="29" fillId="3" borderId="19" xfId="0" applyNumberFormat="1" applyFont="1" applyFill="1" applyBorder="1" applyAlignment="1" applyProtection="1">
      <alignment horizontal="center" vertical="center"/>
    </xf>
    <xf numFmtId="2" fontId="29" fillId="3" borderId="19" xfId="0" applyNumberFormat="1" applyFont="1" applyFill="1" applyBorder="1" applyAlignment="1" applyProtection="1">
      <alignment horizontal="center" vertical="center"/>
    </xf>
    <xf numFmtId="2" fontId="30" fillId="3" borderId="19" xfId="0" applyNumberFormat="1" applyFont="1" applyFill="1" applyBorder="1" applyAlignment="1" applyProtection="1">
      <alignment horizontal="center" vertical="center"/>
    </xf>
    <xf numFmtId="167" fontId="29" fillId="3" borderId="19" xfId="0" applyNumberFormat="1" applyFont="1" applyFill="1" applyBorder="1" applyAlignment="1" applyProtection="1">
      <alignment horizontal="center" vertical="center"/>
    </xf>
    <xf numFmtId="170" fontId="11" fillId="3" borderId="20" xfId="0" applyNumberFormat="1" applyFont="1" applyFill="1" applyBorder="1" applyProtection="1"/>
    <xf numFmtId="0" fontId="20" fillId="3" borderId="2" xfId="0" applyFont="1" applyFill="1" applyBorder="1" applyProtection="1"/>
    <xf numFmtId="2" fontId="32" fillId="3" borderId="1" xfId="0" applyNumberFormat="1" applyFont="1" applyFill="1" applyBorder="1" applyAlignment="1" applyProtection="1">
      <alignment horizontal="center" vertical="center"/>
    </xf>
    <xf numFmtId="49" fontId="31" fillId="3" borderId="1" xfId="0" applyNumberFormat="1" applyFont="1" applyFill="1" applyBorder="1" applyAlignment="1" applyProtection="1">
      <alignment horizontal="right" vertical="center"/>
    </xf>
    <xf numFmtId="2" fontId="31" fillId="3" borderId="1" xfId="0" applyNumberFormat="1" applyFont="1" applyFill="1" applyBorder="1" applyAlignment="1" applyProtection="1">
      <alignment horizontal="center" vertical="center"/>
    </xf>
    <xf numFmtId="1" fontId="32" fillId="3" borderId="1" xfId="0" applyNumberFormat="1" applyFont="1" applyFill="1" applyBorder="1" applyAlignment="1" applyProtection="1">
      <alignment horizontal="center" vertical="center"/>
    </xf>
    <xf numFmtId="165" fontId="31" fillId="3" borderId="1" xfId="0" applyNumberFormat="1" applyFont="1" applyFill="1" applyBorder="1" applyAlignment="1" applyProtection="1">
      <alignment vertical="center"/>
    </xf>
    <xf numFmtId="2" fontId="24" fillId="3" borderId="4" xfId="0" applyNumberFormat="1" applyFont="1" applyFill="1" applyBorder="1" applyProtection="1"/>
    <xf numFmtId="0" fontId="33" fillId="3" borderId="0" xfId="0" applyFont="1" applyFill="1" applyProtection="1"/>
    <xf numFmtId="169" fontId="34" fillId="3" borderId="0" xfId="0" applyNumberFormat="1" applyFont="1" applyFill="1" applyAlignment="1" applyProtection="1">
      <alignment horizontal="center"/>
    </xf>
    <xf numFmtId="0" fontId="29" fillId="3" borderId="0" xfId="0" applyFont="1" applyFill="1" applyBorder="1" applyAlignment="1" applyProtection="1"/>
    <xf numFmtId="0" fontId="20" fillId="3" borderId="0" xfId="0" applyFont="1" applyFill="1" applyProtection="1"/>
    <xf numFmtId="168" fontId="29" fillId="3" borderId="0" xfId="0" applyNumberFormat="1" applyFont="1" applyFill="1" applyBorder="1" applyAlignment="1" applyProtection="1">
      <alignment horizontal="center"/>
    </xf>
    <xf numFmtId="169" fontId="29" fillId="3" borderId="0" xfId="0" applyNumberFormat="1" applyFont="1" applyFill="1" applyBorder="1" applyAlignment="1" applyProtection="1">
      <alignment horizontal="center"/>
    </xf>
    <xf numFmtId="0" fontId="29" fillId="3" borderId="0" xfId="0" applyFont="1" applyFill="1" applyProtection="1"/>
    <xf numFmtId="0" fontId="35" fillId="3" borderId="0" xfId="0" applyFont="1" applyFill="1" applyProtection="1"/>
    <xf numFmtId="0" fontId="28" fillId="3" borderId="0" xfId="0" applyFont="1" applyFill="1" applyBorder="1" applyAlignment="1" applyProtection="1"/>
    <xf numFmtId="0" fontId="7" fillId="3" borderId="0" xfId="0" applyFont="1" applyFill="1" applyBorder="1" applyAlignment="1" applyProtection="1">
      <alignment vertical="center"/>
    </xf>
    <xf numFmtId="0" fontId="28" fillId="3" borderId="1" xfId="0" applyFont="1" applyFill="1" applyBorder="1" applyAlignment="1" applyProtection="1"/>
    <xf numFmtId="0" fontId="20" fillId="3" borderId="1" xfId="0" applyFont="1" applyFill="1" applyBorder="1" applyAlignment="1" applyProtection="1"/>
    <xf numFmtId="0" fontId="24" fillId="3" borderId="1" xfId="0" applyFont="1" applyFill="1" applyBorder="1" applyProtection="1"/>
    <xf numFmtId="0" fontId="29" fillId="3" borderId="0" xfId="0" applyFont="1" applyFill="1" applyAlignment="1" applyProtection="1">
      <alignment horizontal="center" vertical="center"/>
    </xf>
    <xf numFmtId="0" fontId="18" fillId="3" borderId="0" xfId="0" applyFont="1" applyFill="1" applyBorder="1" applyProtection="1"/>
    <xf numFmtId="0" fontId="36" fillId="3" borderId="0" xfId="0" applyFont="1" applyFill="1" applyBorder="1" applyAlignment="1" applyProtection="1">
      <alignment horizontal="center"/>
    </xf>
    <xf numFmtId="0" fontId="25" fillId="3" borderId="0" xfId="0" applyFont="1" applyFill="1" applyBorder="1" applyProtection="1"/>
    <xf numFmtId="0" fontId="25" fillId="3" borderId="0" xfId="0" applyFont="1" applyFill="1" applyProtection="1"/>
    <xf numFmtId="0" fontId="18" fillId="3" borderId="0" xfId="0" applyFont="1" applyFill="1" applyAlignment="1" applyProtection="1">
      <alignment horizontal="center"/>
    </xf>
    <xf numFmtId="0" fontId="18" fillId="3" borderId="0" xfId="0" applyFont="1" applyFill="1" applyBorder="1" applyAlignment="1" applyProtection="1">
      <alignment horizontal="center"/>
    </xf>
    <xf numFmtId="0" fontId="18" fillId="3" borderId="0" xfId="0" quotePrefix="1" applyFont="1" applyFill="1" applyBorder="1" applyAlignment="1" applyProtection="1">
      <alignment horizontal="center"/>
    </xf>
    <xf numFmtId="0" fontId="18" fillId="3" borderId="0" xfId="0" applyFont="1" applyFill="1" applyBorder="1" applyAlignment="1" applyProtection="1">
      <alignment horizontal="right"/>
    </xf>
    <xf numFmtId="169" fontId="18" fillId="3" borderId="0" xfId="0" applyNumberFormat="1" applyFont="1" applyFill="1" applyAlignment="1" applyProtection="1">
      <alignment horizontal="right"/>
    </xf>
    <xf numFmtId="169" fontId="18" fillId="3" borderId="31" xfId="0" applyNumberFormat="1" applyFont="1" applyFill="1" applyBorder="1" applyAlignment="1" applyProtection="1">
      <alignment horizontal="right"/>
    </xf>
    <xf numFmtId="169" fontId="18" fillId="3" borderId="0" xfId="0" applyNumberFormat="1" applyFont="1" applyFill="1" applyBorder="1" applyAlignment="1" applyProtection="1">
      <alignment horizontal="right"/>
    </xf>
    <xf numFmtId="170" fontId="37" fillId="3" borderId="0" xfId="0" applyNumberFormat="1" applyFont="1" applyFill="1" applyProtection="1"/>
    <xf numFmtId="169" fontId="18" fillId="3" borderId="0" xfId="0" applyNumberFormat="1" applyFont="1" applyFill="1" applyProtection="1"/>
    <xf numFmtId="168" fontId="18" fillId="3" borderId="0" xfId="0" applyNumberFormat="1" applyFont="1" applyFill="1" applyAlignment="1" applyProtection="1">
      <alignment horizontal="right"/>
    </xf>
    <xf numFmtId="2" fontId="18" fillId="3" borderId="0" xfId="0" applyNumberFormat="1" applyFont="1" applyFill="1" applyProtection="1"/>
    <xf numFmtId="0" fontId="38" fillId="3" borderId="0" xfId="0" applyFont="1" applyFill="1" applyProtection="1"/>
    <xf numFmtId="0" fontId="39" fillId="3" borderId="0" xfId="0" applyFont="1" applyFill="1" applyBorder="1" applyAlignment="1" applyProtection="1">
      <alignment vertical="center"/>
    </xf>
    <xf numFmtId="0" fontId="19" fillId="3" borderId="2" xfId="0" applyFont="1" applyFill="1" applyBorder="1" applyAlignment="1" applyProtection="1">
      <alignment vertical="center"/>
    </xf>
    <xf numFmtId="0" fontId="19" fillId="3" borderId="1" xfId="0" applyFont="1" applyFill="1" applyBorder="1" applyAlignment="1" applyProtection="1">
      <alignment vertical="center"/>
    </xf>
    <xf numFmtId="169" fontId="26" fillId="3" borderId="1" xfId="0" applyNumberFormat="1" applyFont="1" applyFill="1" applyBorder="1" applyAlignment="1" applyProtection="1">
      <alignment vertical="center"/>
    </xf>
    <xf numFmtId="169" fontId="29" fillId="3" borderId="21" xfId="0" applyNumberFormat="1" applyFont="1" applyFill="1" applyBorder="1" applyAlignment="1" applyProtection="1">
      <alignment horizontal="center" vertical="center"/>
    </xf>
    <xf numFmtId="169" fontId="37" fillId="3" borderId="0" xfId="0" applyNumberFormat="1" applyFont="1" applyFill="1" applyBorder="1" applyAlignment="1" applyProtection="1">
      <alignment horizontal="left" vertical="center"/>
    </xf>
    <xf numFmtId="0" fontId="42" fillId="4" borderId="0" xfId="0" applyFont="1" applyFill="1" applyBorder="1" applyAlignment="1" applyProtection="1">
      <alignment horizontal="center" vertical="center"/>
      <protection locked="0"/>
    </xf>
    <xf numFmtId="169" fontId="40" fillId="3" borderId="1" xfId="0" quotePrefix="1" applyNumberFormat="1" applyFont="1" applyFill="1" applyBorder="1" applyAlignment="1" applyProtection="1">
      <alignment horizontal="left" vertical="center"/>
      <protection hidden="1"/>
    </xf>
    <xf numFmtId="0" fontId="0" fillId="3" borderId="0" xfId="0" applyFill="1" applyBorder="1" applyProtection="1"/>
    <xf numFmtId="0" fontId="20" fillId="5" borderId="0" xfId="0" applyFont="1" applyFill="1" applyBorder="1" applyProtection="1"/>
    <xf numFmtId="0" fontId="19" fillId="5" borderId="0" xfId="0" applyFont="1" applyFill="1" applyBorder="1" applyAlignment="1" applyProtection="1">
      <alignment horizontal="center"/>
    </xf>
    <xf numFmtId="0" fontId="24" fillId="0" borderId="0" xfId="0" applyFont="1" applyFill="1" applyProtection="1"/>
    <xf numFmtId="0" fontId="13" fillId="0" borderId="0" xfId="0" applyFont="1" applyFill="1" applyProtection="1"/>
    <xf numFmtId="0" fontId="26" fillId="0" borderId="0" xfId="0" applyFont="1" applyFill="1" applyProtection="1"/>
    <xf numFmtId="0" fontId="14" fillId="0" borderId="0" xfId="0" applyFont="1" applyFill="1" applyProtection="1"/>
    <xf numFmtId="2" fontId="24" fillId="0" borderId="0" xfId="0" applyNumberFormat="1" applyFont="1" applyFill="1" applyProtection="1"/>
    <xf numFmtId="0" fontId="43" fillId="3" borderId="0" xfId="0" applyFont="1" applyFill="1" applyProtection="1"/>
    <xf numFmtId="0" fontId="38" fillId="3" borderId="0" xfId="0" applyFont="1" applyFill="1" applyBorder="1" applyAlignment="1" applyProtection="1"/>
    <xf numFmtId="0" fontId="44" fillId="3" borderId="0" xfId="0" applyFont="1" applyFill="1" applyBorder="1" applyAlignment="1" applyProtection="1"/>
    <xf numFmtId="0" fontId="39" fillId="3" borderId="0" xfId="0" applyFont="1" applyFill="1" applyBorder="1" applyProtection="1"/>
    <xf numFmtId="0" fontId="38" fillId="3" borderId="0" xfId="0" applyFont="1" applyFill="1" applyAlignment="1" applyProtection="1">
      <alignment vertical="center"/>
    </xf>
    <xf numFmtId="0" fontId="28" fillId="0" borderId="0" xfId="0" applyFont="1" applyProtection="1"/>
    <xf numFmtId="14" fontId="28" fillId="3" borderId="0" xfId="0" applyNumberFormat="1" applyFont="1" applyFill="1" applyAlignment="1" applyProtection="1">
      <alignment horizontal="left"/>
    </xf>
    <xf numFmtId="0" fontId="20" fillId="3" borderId="7" xfId="0" applyFont="1" applyFill="1" applyBorder="1" applyProtection="1"/>
    <xf numFmtId="169" fontId="45" fillId="4" borderId="25" xfId="0" applyNumberFormat="1" applyFont="1" applyFill="1" applyBorder="1" applyAlignment="1" applyProtection="1">
      <alignment horizontal="center" vertical="center"/>
      <protection locked="0"/>
    </xf>
    <xf numFmtId="169" fontId="45" fillId="4" borderId="26" xfId="0" applyNumberFormat="1" applyFont="1" applyFill="1" applyBorder="1" applyAlignment="1" applyProtection="1">
      <alignment horizontal="center" vertical="center"/>
      <protection locked="0"/>
    </xf>
    <xf numFmtId="169" fontId="45" fillId="4" borderId="27" xfId="0" applyNumberFormat="1" applyFont="1" applyFill="1" applyBorder="1" applyAlignment="1" applyProtection="1">
      <alignment horizontal="center" vertical="center"/>
      <protection locked="0"/>
    </xf>
    <xf numFmtId="0" fontId="20" fillId="3" borderId="3" xfId="0" applyFont="1" applyFill="1" applyBorder="1" applyProtection="1"/>
    <xf numFmtId="0" fontId="0" fillId="3" borderId="7" xfId="0" applyFill="1" applyBorder="1" applyProtection="1"/>
    <xf numFmtId="0" fontId="0" fillId="3" borderId="3" xfId="0" applyFill="1" applyBorder="1" applyProtection="1"/>
    <xf numFmtId="0" fontId="20" fillId="3" borderId="5" xfId="0" applyFont="1" applyFill="1" applyBorder="1" applyProtection="1"/>
    <xf numFmtId="0" fontId="0" fillId="3" borderId="5" xfId="0" applyFill="1" applyBorder="1" applyProtection="1"/>
    <xf numFmtId="0" fontId="22" fillId="3" borderId="5" xfId="0" applyFont="1" applyFill="1" applyBorder="1" applyAlignment="1" applyProtection="1">
      <alignment horizontal="right" vertical="center"/>
    </xf>
    <xf numFmtId="0" fontId="35" fillId="3" borderId="21" xfId="0" applyFont="1" applyFill="1" applyBorder="1" applyAlignment="1" applyProtection="1">
      <alignment horizontal="center" vertical="center"/>
    </xf>
    <xf numFmtId="169" fontId="40" fillId="3" borderId="21" xfId="0" applyNumberFormat="1" applyFont="1" applyFill="1" applyBorder="1" applyAlignment="1" applyProtection="1">
      <alignment horizontal="center" vertical="center"/>
    </xf>
    <xf numFmtId="171" fontId="40" fillId="3" borderId="21" xfId="0" applyNumberFormat="1" applyFont="1" applyFill="1" applyBorder="1" applyAlignment="1" applyProtection="1">
      <alignment horizontal="center" vertical="center"/>
    </xf>
    <xf numFmtId="0" fontId="20" fillId="3" borderId="6" xfId="0" applyFont="1" applyFill="1" applyBorder="1" applyAlignment="1" applyProtection="1">
      <alignment horizontal="right"/>
    </xf>
    <xf numFmtId="0" fontId="29" fillId="3" borderId="0" xfId="0" applyFont="1" applyFill="1" applyBorder="1" applyAlignment="1" applyProtection="1">
      <alignment horizontal="right" vertical="center"/>
    </xf>
    <xf numFmtId="169" fontId="26" fillId="3" borderId="22" xfId="0" applyNumberFormat="1" applyFont="1" applyFill="1" applyBorder="1" applyAlignment="1" applyProtection="1">
      <alignment horizontal="center" vertical="center"/>
    </xf>
    <xf numFmtId="169" fontId="26" fillId="3" borderId="23" xfId="0" applyNumberFormat="1" applyFont="1" applyFill="1" applyBorder="1" applyAlignment="1" applyProtection="1">
      <alignment horizontal="center" vertical="center"/>
    </xf>
    <xf numFmtId="169" fontId="26" fillId="3" borderId="24" xfId="0" applyNumberFormat="1" applyFont="1" applyFill="1" applyBorder="1" applyAlignment="1" applyProtection="1">
      <alignment horizontal="center" vertical="center"/>
    </xf>
    <xf numFmtId="169" fontId="40" fillId="3" borderId="8" xfId="0" applyNumberFormat="1" applyFont="1" applyFill="1" applyBorder="1" applyAlignment="1" applyProtection="1">
      <alignment horizontal="center"/>
    </xf>
    <xf numFmtId="0" fontId="0" fillId="3" borderId="2" xfId="0" applyFill="1" applyBorder="1" applyProtection="1"/>
    <xf numFmtId="0" fontId="0" fillId="3" borderId="1" xfId="0" applyFill="1" applyBorder="1" applyProtection="1"/>
    <xf numFmtId="0" fontId="29" fillId="3" borderId="1" xfId="0" applyFont="1" applyFill="1" applyBorder="1" applyAlignment="1" applyProtection="1">
      <alignment horizontal="right" vertical="center"/>
    </xf>
    <xf numFmtId="0" fontId="46" fillId="3" borderId="5" xfId="0" applyFont="1" applyFill="1" applyBorder="1" applyAlignment="1" applyProtection="1">
      <alignment horizontal="center"/>
    </xf>
    <xf numFmtId="0" fontId="47" fillId="3" borderId="5" xfId="0" applyFont="1" applyFill="1" applyBorder="1" applyProtection="1"/>
    <xf numFmtId="0" fontId="46" fillId="3" borderId="5" xfId="0" applyFont="1" applyFill="1" applyBorder="1" applyAlignment="1" applyProtection="1"/>
    <xf numFmtId="0" fontId="48" fillId="3" borderId="5" xfId="0" applyFont="1" applyFill="1" applyBorder="1" applyAlignment="1" applyProtection="1">
      <alignment horizontal="right" vertical="center"/>
    </xf>
    <xf numFmtId="0" fontId="49" fillId="3" borderId="21" xfId="0" applyFont="1" applyFill="1" applyBorder="1" applyAlignment="1" applyProtection="1">
      <alignment horizontal="center" vertical="center"/>
    </xf>
    <xf numFmtId="169" fontId="50" fillId="3" borderId="21" xfId="0" applyNumberFormat="1" applyFont="1" applyFill="1" applyBorder="1" applyAlignment="1" applyProtection="1">
      <alignment horizontal="center" vertical="center"/>
    </xf>
    <xf numFmtId="171" fontId="50" fillId="3" borderId="21" xfId="0" applyNumberFormat="1" applyFont="1" applyFill="1" applyBorder="1" applyAlignment="1" applyProtection="1">
      <alignment horizontal="center" vertical="center"/>
    </xf>
    <xf numFmtId="0" fontId="46" fillId="3" borderId="6" xfId="0" applyFont="1" applyFill="1" applyBorder="1" applyProtection="1"/>
    <xf numFmtId="0" fontId="46" fillId="3" borderId="0" xfId="0" applyFont="1" applyFill="1" applyBorder="1" applyProtection="1"/>
    <xf numFmtId="0" fontId="51" fillId="3" borderId="0" xfId="0" applyFont="1" applyFill="1" applyBorder="1" applyAlignment="1" applyProtection="1">
      <alignment horizontal="right" vertical="center"/>
    </xf>
    <xf numFmtId="169" fontId="52" fillId="3" borderId="22" xfId="0" applyNumberFormat="1" applyFont="1" applyFill="1" applyBorder="1" applyAlignment="1" applyProtection="1">
      <alignment horizontal="center" vertical="center"/>
    </xf>
    <xf numFmtId="169" fontId="52" fillId="3" borderId="23" xfId="0" applyNumberFormat="1" applyFont="1" applyFill="1" applyBorder="1" applyAlignment="1" applyProtection="1">
      <alignment horizontal="center" vertical="center"/>
    </xf>
    <xf numFmtId="169" fontId="52" fillId="3" borderId="24" xfId="0" applyNumberFormat="1" applyFont="1" applyFill="1" applyBorder="1" applyAlignment="1" applyProtection="1">
      <alignment horizontal="center" vertical="center"/>
    </xf>
    <xf numFmtId="169" fontId="50" fillId="3" borderId="8" xfId="0" applyNumberFormat="1" applyFont="1" applyFill="1" applyBorder="1" applyAlignment="1" applyProtection="1">
      <alignment horizontal="center"/>
    </xf>
    <xf numFmtId="0" fontId="46" fillId="3" borderId="2" xfId="0" applyFont="1" applyFill="1" applyBorder="1" applyAlignment="1" applyProtection="1">
      <alignment vertical="center"/>
    </xf>
    <xf numFmtId="0" fontId="46" fillId="3" borderId="1" xfId="0" applyFont="1" applyFill="1" applyBorder="1" applyAlignment="1" applyProtection="1">
      <alignment vertical="center"/>
    </xf>
    <xf numFmtId="0" fontId="51" fillId="3" borderId="1" xfId="0" applyFont="1" applyFill="1" applyBorder="1" applyAlignment="1" applyProtection="1">
      <alignment horizontal="right" vertical="center"/>
    </xf>
    <xf numFmtId="169" fontId="51" fillId="3" borderId="21" xfId="0" applyNumberFormat="1" applyFont="1" applyFill="1" applyBorder="1" applyAlignment="1" applyProtection="1">
      <alignment horizontal="center" vertical="center"/>
    </xf>
    <xf numFmtId="0" fontId="48" fillId="6" borderId="7" xfId="0" applyFont="1" applyFill="1" applyBorder="1" applyAlignment="1" applyProtection="1">
      <alignment vertical="center"/>
    </xf>
    <xf numFmtId="0" fontId="46" fillId="6" borderId="0" xfId="0" applyFont="1" applyFill="1" applyBorder="1" applyAlignment="1" applyProtection="1">
      <alignment vertical="center"/>
    </xf>
    <xf numFmtId="0" fontId="35" fillId="3" borderId="0" xfId="0" applyFont="1" applyFill="1" applyBorder="1" applyAlignment="1" applyProtection="1"/>
    <xf numFmtId="169" fontId="23" fillId="3" borderId="0" xfId="0" applyNumberFormat="1" applyFont="1" applyFill="1" applyBorder="1" applyAlignment="1" applyProtection="1">
      <alignment horizontal="center" vertical="center"/>
    </xf>
    <xf numFmtId="169" fontId="53" fillId="3" borderId="1" xfId="0" applyNumberFormat="1" applyFont="1" applyFill="1" applyBorder="1" applyAlignment="1" applyProtection="1">
      <alignment vertical="center"/>
    </xf>
    <xf numFmtId="169" fontId="48" fillId="4" borderId="0" xfId="0" applyNumberFormat="1" applyFont="1" applyFill="1" applyBorder="1" applyAlignment="1" applyProtection="1">
      <alignment vertical="center"/>
      <protection locked="0"/>
    </xf>
    <xf numFmtId="0" fontId="54" fillId="3" borderId="1" xfId="0" applyFont="1" applyFill="1" applyBorder="1" applyProtection="1"/>
    <xf numFmtId="0" fontId="41" fillId="3" borderId="0" xfId="0" applyFont="1" applyFill="1" applyBorder="1" applyAlignment="1" applyProtection="1">
      <alignment horizontal="center"/>
    </xf>
    <xf numFmtId="0" fontId="55" fillId="3" borderId="0" xfId="0" applyFont="1" applyFill="1" applyBorder="1" applyAlignment="1" applyProtection="1">
      <alignment horizontal="center"/>
    </xf>
    <xf numFmtId="0" fontId="55" fillId="3" borderId="0" xfId="0" applyFont="1" applyFill="1" applyProtection="1"/>
    <xf numFmtId="0" fontId="55" fillId="3" borderId="0" xfId="0" applyFont="1" applyFill="1" applyBorder="1" applyProtection="1"/>
    <xf numFmtId="0" fontId="56" fillId="3" borderId="0" xfId="0" applyFont="1" applyFill="1" applyBorder="1" applyProtection="1"/>
    <xf numFmtId="0" fontId="57" fillId="3" borderId="0" xfId="0" applyFont="1" applyFill="1" applyBorder="1" applyProtection="1"/>
    <xf numFmtId="170" fontId="58" fillId="3" borderId="0" xfId="0" applyNumberFormat="1" applyFont="1" applyFill="1" applyProtection="1"/>
    <xf numFmtId="2" fontId="55" fillId="3" borderId="0" xfId="0" applyNumberFormat="1" applyFont="1" applyFill="1" applyProtection="1"/>
    <xf numFmtId="0" fontId="59" fillId="3" borderId="0" xfId="0" applyFont="1" applyFill="1" applyProtection="1"/>
    <xf numFmtId="0" fontId="60" fillId="3" borderId="0" xfId="0" applyFont="1" applyFill="1" applyBorder="1" applyAlignment="1" applyProtection="1">
      <alignment vertical="center"/>
    </xf>
    <xf numFmtId="14" fontId="55" fillId="3" borderId="0" xfId="0" applyNumberFormat="1" applyFont="1" applyFill="1" applyBorder="1" applyProtection="1"/>
    <xf numFmtId="2" fontId="18" fillId="3" borderId="0" xfId="0" applyNumberFormat="1" applyFont="1" applyFill="1" applyAlignment="1" applyProtection="1">
      <alignment horizontal="right"/>
    </xf>
    <xf numFmtId="14" fontId="18" fillId="3" borderId="0" xfId="0" applyNumberFormat="1" applyFont="1" applyFill="1" applyBorder="1" applyProtection="1"/>
    <xf numFmtId="0" fontId="29" fillId="3" borderId="0" xfId="0" applyFont="1" applyFill="1" applyBorder="1" applyAlignment="1" applyProtection="1">
      <alignment horizontal="center" vertical="center"/>
    </xf>
    <xf numFmtId="0" fontId="16" fillId="2" borderId="3" xfId="0" applyFont="1" applyFill="1" applyBorder="1" applyAlignment="1" applyProtection="1">
      <alignment horizontal="center" vertical="center"/>
    </xf>
    <xf numFmtId="0" fontId="15" fillId="2" borderId="2" xfId="0" applyFont="1" applyFill="1" applyBorder="1" applyAlignment="1" applyProtection="1">
      <alignment horizontal="center" vertical="center"/>
    </xf>
    <xf numFmtId="0" fontId="15" fillId="2" borderId="1" xfId="0" applyFont="1" applyFill="1" applyBorder="1" applyAlignment="1" applyProtection="1">
      <alignment horizontal="center" vertical="center"/>
    </xf>
    <xf numFmtId="0" fontId="15" fillId="2" borderId="1" xfId="0" applyFont="1" applyFill="1" applyBorder="1" applyAlignment="1" applyProtection="1">
      <alignment horizontal="center" vertical="center"/>
    </xf>
    <xf numFmtId="2" fontId="29" fillId="3" borderId="32" xfId="0" applyNumberFormat="1" applyFont="1" applyFill="1" applyBorder="1" applyAlignment="1" applyProtection="1">
      <alignment horizontal="center" vertical="center"/>
    </xf>
    <xf numFmtId="0" fontId="61" fillId="4" borderId="35" xfId="0" applyFont="1" applyFill="1" applyBorder="1" applyAlignment="1" applyProtection="1">
      <alignment horizontal="center" vertical="center"/>
    </xf>
    <xf numFmtId="0" fontId="61" fillId="4" borderId="1" xfId="0" applyFont="1" applyFill="1" applyBorder="1" applyAlignment="1" applyProtection="1">
      <alignment horizontal="center" vertical="center"/>
    </xf>
    <xf numFmtId="0" fontId="61" fillId="4" borderId="36" xfId="0" applyFont="1" applyFill="1" applyBorder="1" applyAlignment="1" applyProtection="1">
      <alignment horizontal="center" vertical="center"/>
    </xf>
    <xf numFmtId="166" fontId="29" fillId="4" borderId="37" xfId="0" applyNumberFormat="1" applyFont="1" applyFill="1" applyBorder="1" applyAlignment="1" applyProtection="1">
      <alignment horizontal="center" vertical="center"/>
      <protection locked="0"/>
    </xf>
    <xf numFmtId="166" fontId="29" fillId="4" borderId="11" xfId="0" applyNumberFormat="1" applyFont="1" applyFill="1" applyBorder="1" applyAlignment="1" applyProtection="1">
      <alignment horizontal="center" vertical="center"/>
      <protection locked="0"/>
    </xf>
    <xf numFmtId="166" fontId="29" fillId="4" borderId="38" xfId="0" applyNumberFormat="1" applyFont="1" applyFill="1" applyBorder="1" applyAlignment="1" applyProtection="1">
      <alignment horizontal="center" vertical="center"/>
      <protection locked="0"/>
    </xf>
    <xf numFmtId="14" fontId="0" fillId="0" borderId="0" xfId="0" applyNumberFormat="1"/>
    <xf numFmtId="0" fontId="0" fillId="0" borderId="0" xfId="0" quotePrefix="1"/>
    <xf numFmtId="0" fontId="0" fillId="0" borderId="0" xfId="0" applyAlignment="1"/>
    <xf numFmtId="0" fontId="64" fillId="0" borderId="0" xfId="0" applyFont="1"/>
    <xf numFmtId="172" fontId="0" fillId="0" borderId="0" xfId="0" applyNumberFormat="1"/>
    <xf numFmtId="2" fontId="0" fillId="0" borderId="0" xfId="0" applyNumberFormat="1"/>
    <xf numFmtId="168" fontId="29" fillId="8" borderId="10" xfId="0" applyNumberFormat="1" applyFont="1" applyFill="1" applyBorder="1" applyAlignment="1" applyProtection="1">
      <alignment horizontal="center" vertical="center"/>
      <protection locked="0"/>
    </xf>
    <xf numFmtId="0" fontId="65" fillId="3" borderId="7" xfId="0" applyFont="1" applyFill="1" applyBorder="1" applyAlignment="1" applyProtection="1">
      <alignment horizontal="left" vertical="center"/>
    </xf>
    <xf numFmtId="0" fontId="65" fillId="3" borderId="0" xfId="0" applyFont="1" applyFill="1" applyBorder="1" applyAlignment="1" applyProtection="1">
      <alignment horizontal="left" vertical="center"/>
    </xf>
    <xf numFmtId="0" fontId="35" fillId="3" borderId="0" xfId="0" applyFont="1" applyFill="1" applyBorder="1" applyAlignment="1" applyProtection="1">
      <alignment horizontal="left" vertical="center"/>
    </xf>
    <xf numFmtId="0" fontId="35" fillId="3" borderId="0" xfId="0" applyFont="1" applyFill="1" applyBorder="1" applyAlignment="1" applyProtection="1">
      <alignment horizontal="center" vertical="center"/>
    </xf>
    <xf numFmtId="0" fontId="40" fillId="3" borderId="8" xfId="0" applyFont="1" applyFill="1" applyBorder="1" applyProtection="1"/>
    <xf numFmtId="0" fontId="23" fillId="3" borderId="28" xfId="0" applyFont="1" applyFill="1" applyBorder="1" applyAlignment="1" applyProtection="1">
      <alignment vertical="center"/>
      <protection locked="0"/>
    </xf>
    <xf numFmtId="0" fontId="23" fillId="3" borderId="29" xfId="0" applyFont="1" applyFill="1" applyBorder="1" applyAlignment="1" applyProtection="1">
      <alignment vertical="center"/>
      <protection locked="0"/>
    </xf>
    <xf numFmtId="0" fontId="23" fillId="3" borderId="30" xfId="0" applyFont="1" applyFill="1" applyBorder="1" applyAlignment="1" applyProtection="1">
      <alignment vertical="center"/>
      <protection locked="0"/>
    </xf>
    <xf numFmtId="0" fontId="0" fillId="3" borderId="0" xfId="0" applyFill="1" applyBorder="1"/>
    <xf numFmtId="166" fontId="29" fillId="4" borderId="39" xfId="0" applyNumberFormat="1" applyFont="1" applyFill="1" applyBorder="1" applyAlignment="1" applyProtection="1">
      <alignment horizontal="center" vertical="center"/>
      <protection locked="0"/>
    </xf>
    <xf numFmtId="166" fontId="29" fillId="4" borderId="23" xfId="0" applyNumberFormat="1" applyFont="1" applyFill="1" applyBorder="1" applyAlignment="1" applyProtection="1">
      <alignment horizontal="center" vertical="center"/>
      <protection locked="0"/>
    </xf>
    <xf numFmtId="166" fontId="29" fillId="4" borderId="40" xfId="0" applyNumberFormat="1" applyFont="1" applyFill="1" applyBorder="1" applyAlignment="1" applyProtection="1">
      <alignment horizontal="center" vertical="center"/>
      <protection locked="0"/>
    </xf>
    <xf numFmtId="166" fontId="29" fillId="4" borderId="41" xfId="0" applyNumberFormat="1" applyFont="1" applyFill="1" applyBorder="1" applyAlignment="1" applyProtection="1">
      <alignment horizontal="center" vertical="center"/>
      <protection locked="0"/>
    </xf>
    <xf numFmtId="166" fontId="29" fillId="4" borderId="16" xfId="0" applyNumberFormat="1" applyFont="1" applyFill="1" applyBorder="1" applyAlignment="1" applyProtection="1">
      <alignment horizontal="center" vertical="center"/>
      <protection locked="0"/>
    </xf>
    <xf numFmtId="166" fontId="29" fillId="4" borderId="42" xfId="0" applyNumberFormat="1" applyFont="1" applyFill="1" applyBorder="1" applyAlignment="1" applyProtection="1">
      <alignment horizontal="center" vertical="center"/>
      <protection locked="0"/>
    </xf>
    <xf numFmtId="0" fontId="8" fillId="3" borderId="0" xfId="0" applyFont="1" applyFill="1" applyBorder="1" applyAlignment="1" applyProtection="1">
      <alignment horizontal="center"/>
    </xf>
    <xf numFmtId="0" fontId="16" fillId="2" borderId="3" xfId="0" applyFont="1" applyFill="1" applyBorder="1" applyAlignment="1" applyProtection="1">
      <alignment horizontal="center" vertical="center"/>
    </xf>
    <xf numFmtId="0" fontId="15" fillId="2" borderId="2" xfId="0" applyFont="1" applyFill="1" applyBorder="1" applyAlignment="1" applyProtection="1">
      <alignment horizontal="center" vertical="center"/>
    </xf>
    <xf numFmtId="0" fontId="15" fillId="2" borderId="1" xfId="0" applyFont="1" applyFill="1" applyBorder="1" applyAlignment="1" applyProtection="1">
      <alignment horizontal="center" vertical="center"/>
    </xf>
    <xf numFmtId="0" fontId="29" fillId="3" borderId="0" xfId="0" applyFont="1" applyFill="1" applyBorder="1" applyAlignment="1" applyProtection="1">
      <alignment horizontal="center" vertical="center"/>
    </xf>
    <xf numFmtId="0" fontId="66" fillId="3" borderId="0" xfId="0" applyFont="1" applyFill="1" applyBorder="1" applyAlignment="1" applyProtection="1"/>
    <xf numFmtId="0" fontId="66" fillId="3" borderId="0" xfId="0" applyFont="1" applyFill="1" applyBorder="1" applyAlignment="1" applyProtection="1">
      <alignment horizontal="center"/>
    </xf>
    <xf numFmtId="0" fontId="0" fillId="0" borderId="0" xfId="0" applyBorder="1"/>
    <xf numFmtId="0" fontId="67" fillId="0" borderId="0" xfId="0" applyFont="1"/>
    <xf numFmtId="2" fontId="55" fillId="3" borderId="0" xfId="0" applyNumberFormat="1" applyFont="1" applyFill="1" applyAlignment="1" applyProtection="1">
      <alignment horizontal="right"/>
    </xf>
    <xf numFmtId="0" fontId="18" fillId="3" borderId="0" xfId="0" applyFont="1" applyFill="1" applyAlignment="1" applyProtection="1">
      <alignment horizontal="left"/>
    </xf>
    <xf numFmtId="2" fontId="24" fillId="3" borderId="0" xfId="0" applyNumberFormat="1" applyFont="1" applyFill="1" applyAlignment="1" applyProtection="1">
      <alignment horizontal="right"/>
    </xf>
    <xf numFmtId="14" fontId="55" fillId="3" borderId="0" xfId="0" applyNumberFormat="1" applyFont="1" applyFill="1" applyAlignment="1" applyProtection="1">
      <alignment horizontal="right"/>
    </xf>
    <xf numFmtId="0" fontId="1" fillId="4" borderId="28" xfId="0" applyFont="1" applyFill="1" applyBorder="1" applyAlignment="1" applyProtection="1">
      <alignment horizontal="center" vertical="center"/>
      <protection locked="0"/>
    </xf>
    <xf numFmtId="0" fontId="6" fillId="4" borderId="29" xfId="0" applyFont="1" applyFill="1" applyBorder="1" applyAlignment="1" applyProtection="1">
      <alignment horizontal="center" vertical="center"/>
      <protection locked="0"/>
    </xf>
    <xf numFmtId="0" fontId="6" fillId="4" borderId="30" xfId="0" applyFont="1" applyFill="1" applyBorder="1" applyAlignment="1" applyProtection="1">
      <alignment horizontal="center" vertical="center"/>
      <protection locked="0"/>
    </xf>
    <xf numFmtId="0" fontId="23" fillId="4" borderId="28" xfId="0" applyFont="1" applyFill="1" applyBorder="1" applyAlignment="1" applyProtection="1">
      <alignment horizontal="center" vertical="center"/>
      <protection locked="0"/>
    </xf>
    <xf numFmtId="0" fontId="23" fillId="4" borderId="29" xfId="0" applyFont="1" applyFill="1" applyBorder="1" applyAlignment="1" applyProtection="1">
      <alignment horizontal="center" vertical="center"/>
      <protection locked="0"/>
    </xf>
    <xf numFmtId="0" fontId="23" fillId="4" borderId="30" xfId="0" applyFont="1" applyFill="1" applyBorder="1" applyAlignment="1" applyProtection="1">
      <alignment horizontal="center" vertical="center"/>
      <protection locked="0"/>
    </xf>
    <xf numFmtId="0" fontId="0" fillId="3" borderId="0" xfId="0" applyFill="1" applyBorder="1"/>
    <xf numFmtId="0" fontId="42" fillId="5" borderId="0" xfId="0" applyFont="1" applyFill="1" applyBorder="1" applyAlignment="1" applyProtection="1">
      <alignment horizontal="right" vertical="center"/>
    </xf>
    <xf numFmtId="0" fontId="20" fillId="4" borderId="29" xfId="0" applyFont="1" applyFill="1" applyBorder="1" applyAlignment="1" applyProtection="1">
      <alignment horizontal="center" vertical="center"/>
      <protection locked="0"/>
    </xf>
    <xf numFmtId="0" fontId="20" fillId="4" borderId="30" xfId="0" applyFont="1" applyFill="1" applyBorder="1" applyAlignment="1" applyProtection="1">
      <alignment horizontal="center" vertical="center"/>
      <protection locked="0"/>
    </xf>
    <xf numFmtId="0" fontId="2" fillId="4" borderId="28" xfId="0" applyFont="1" applyFill="1" applyBorder="1" applyAlignment="1" applyProtection="1">
      <alignment horizontal="center" vertical="center"/>
      <protection locked="0"/>
    </xf>
    <xf numFmtId="0" fontId="3" fillId="4" borderId="28" xfId="0" applyFont="1" applyFill="1" applyBorder="1" applyAlignment="1" applyProtection="1">
      <alignment horizontal="center" vertical="center"/>
      <protection locked="0"/>
    </xf>
    <xf numFmtId="0" fontId="4" fillId="4" borderId="29" xfId="0" applyFont="1" applyFill="1" applyBorder="1" applyAlignment="1" applyProtection="1">
      <alignment horizontal="center" vertical="center"/>
      <protection locked="0"/>
    </xf>
    <xf numFmtId="0" fontId="4" fillId="4" borderId="30" xfId="0" applyFont="1" applyFill="1" applyBorder="1" applyAlignment="1" applyProtection="1">
      <alignment horizontal="center" vertical="center"/>
      <protection locked="0"/>
    </xf>
    <xf numFmtId="2" fontId="20" fillId="4" borderId="28" xfId="0" applyNumberFormat="1" applyFont="1" applyFill="1" applyBorder="1" applyAlignment="1" applyProtection="1">
      <alignment horizontal="center" vertical="center"/>
      <protection locked="0"/>
    </xf>
    <xf numFmtId="2" fontId="20" fillId="4" borderId="29" xfId="0" applyNumberFormat="1" applyFont="1" applyFill="1" applyBorder="1" applyAlignment="1" applyProtection="1">
      <alignment horizontal="center" vertical="center"/>
      <protection locked="0"/>
    </xf>
    <xf numFmtId="2" fontId="20" fillId="4" borderId="30" xfId="0" applyNumberFormat="1" applyFont="1" applyFill="1" applyBorder="1" applyAlignment="1" applyProtection="1">
      <alignment horizontal="center" vertical="center"/>
      <protection locked="0"/>
    </xf>
    <xf numFmtId="0" fontId="22" fillId="3" borderId="0" xfId="0" applyFont="1" applyFill="1" applyBorder="1" applyAlignment="1" applyProtection="1">
      <alignment horizontal="center" vertical="center"/>
    </xf>
    <xf numFmtId="0" fontId="71" fillId="9" borderId="44" xfId="0" applyFont="1" applyFill="1" applyBorder="1" applyAlignment="1">
      <alignment horizontal="left" vertical="center" wrapText="1" indent="1"/>
    </xf>
    <xf numFmtId="0" fontId="0" fillId="9" borderId="45" xfId="0" applyFill="1" applyBorder="1" applyAlignment="1">
      <alignment horizontal="left" vertical="center" indent="1"/>
    </xf>
    <xf numFmtId="0" fontId="0" fillId="9" borderId="46" xfId="0" applyFill="1" applyBorder="1" applyAlignment="1">
      <alignment horizontal="left" vertical="center" indent="1"/>
    </xf>
    <xf numFmtId="0" fontId="0" fillId="9" borderId="47" xfId="0" applyFill="1" applyBorder="1" applyAlignment="1">
      <alignment horizontal="left" vertical="center" indent="1"/>
    </xf>
    <xf numFmtId="0" fontId="0" fillId="9" borderId="0" xfId="0" applyFill="1" applyBorder="1" applyAlignment="1">
      <alignment horizontal="left" vertical="center" indent="1"/>
    </xf>
    <xf numFmtId="0" fontId="0" fillId="9" borderId="48" xfId="0" applyFill="1" applyBorder="1" applyAlignment="1">
      <alignment horizontal="left" vertical="center" indent="1"/>
    </xf>
    <xf numFmtId="0" fontId="0" fillId="9" borderId="49" xfId="0" applyFill="1" applyBorder="1" applyAlignment="1">
      <alignment horizontal="left" vertical="center" indent="1"/>
    </xf>
    <xf numFmtId="0" fontId="0" fillId="9" borderId="50" xfId="0" applyFill="1" applyBorder="1" applyAlignment="1">
      <alignment horizontal="left" vertical="center" indent="1"/>
    </xf>
    <xf numFmtId="0" fontId="0" fillId="9" borderId="51" xfId="0" applyFill="1" applyBorder="1" applyAlignment="1">
      <alignment horizontal="left" vertical="center" indent="1"/>
    </xf>
    <xf numFmtId="0" fontId="71" fillId="0" borderId="44" xfId="0" applyFont="1" applyBorder="1" applyAlignment="1">
      <alignment horizontal="left" vertical="center" wrapText="1" indent="1"/>
    </xf>
    <xf numFmtId="0" fontId="71" fillId="0" borderId="45" xfId="0" applyFont="1" applyBorder="1" applyAlignment="1">
      <alignment horizontal="left" vertical="center" wrapText="1" indent="1"/>
    </xf>
    <xf numFmtId="0" fontId="71" fillId="0" borderId="46" xfId="0" applyFont="1" applyBorder="1" applyAlignment="1">
      <alignment horizontal="left" vertical="center" wrapText="1" indent="1"/>
    </xf>
    <xf numFmtId="0" fontId="71" fillId="0" borderId="47" xfId="0" applyFont="1" applyBorder="1" applyAlignment="1">
      <alignment horizontal="left" vertical="center" wrapText="1" indent="1"/>
    </xf>
    <xf numFmtId="0" fontId="71" fillId="0" borderId="0" xfId="0" applyFont="1" applyBorder="1" applyAlignment="1">
      <alignment horizontal="left" vertical="center" wrapText="1" indent="1"/>
    </xf>
    <xf numFmtId="0" fontId="71" fillId="0" borderId="48" xfId="0" applyFont="1" applyBorder="1" applyAlignment="1">
      <alignment horizontal="left" vertical="center" wrapText="1" indent="1"/>
    </xf>
    <xf numFmtId="0" fontId="71" fillId="0" borderId="49" xfId="0" applyFont="1" applyBorder="1" applyAlignment="1">
      <alignment horizontal="left" vertical="center" wrapText="1" indent="1"/>
    </xf>
    <xf numFmtId="0" fontId="71" fillId="0" borderId="50" xfId="0" applyFont="1" applyBorder="1" applyAlignment="1">
      <alignment horizontal="left" vertical="center" wrapText="1" indent="1"/>
    </xf>
    <xf numFmtId="0" fontId="71" fillId="0" borderId="51" xfId="0" applyFont="1" applyBorder="1" applyAlignment="1">
      <alignment horizontal="left" vertical="center" wrapText="1" indent="1"/>
    </xf>
    <xf numFmtId="0" fontId="0" fillId="0" borderId="0" xfId="0"/>
    <xf numFmtId="166" fontId="29" fillId="4" borderId="12" xfId="0" applyNumberFormat="1" applyFont="1" applyFill="1" applyBorder="1" applyAlignment="1" applyProtection="1">
      <alignment horizontal="left" vertical="center"/>
      <protection locked="0"/>
    </xf>
    <xf numFmtId="166" fontId="29" fillId="4" borderId="32" xfId="0" applyNumberFormat="1" applyFont="1" applyFill="1" applyBorder="1" applyAlignment="1" applyProtection="1">
      <alignment horizontal="left" vertical="center"/>
      <protection locked="0"/>
    </xf>
    <xf numFmtId="166" fontId="29" fillId="4" borderId="14" xfId="0" applyNumberFormat="1" applyFont="1" applyFill="1" applyBorder="1" applyAlignment="1" applyProtection="1">
      <alignment horizontal="left" vertical="center"/>
      <protection locked="0"/>
    </xf>
    <xf numFmtId="0" fontId="23" fillId="3" borderId="28" xfId="0" applyFont="1" applyFill="1" applyBorder="1" applyAlignment="1" applyProtection="1">
      <alignment horizontal="left" vertical="center"/>
      <protection locked="0"/>
    </xf>
    <xf numFmtId="0" fontId="23" fillId="3" borderId="29" xfId="0" applyFont="1" applyFill="1" applyBorder="1" applyAlignment="1" applyProtection="1">
      <alignment horizontal="left" vertical="center"/>
      <protection locked="0"/>
    </xf>
    <xf numFmtId="0" fontId="23" fillId="3" borderId="30" xfId="0" applyFont="1" applyFill="1" applyBorder="1" applyAlignment="1" applyProtection="1">
      <alignment horizontal="left" vertical="center"/>
      <protection locked="0"/>
    </xf>
    <xf numFmtId="0" fontId="15" fillId="3" borderId="0" xfId="0" applyNumberFormat="1" applyFont="1" applyFill="1" applyBorder="1" applyAlignment="1" applyProtection="1">
      <alignment horizontal="center" vertical="center"/>
    </xf>
    <xf numFmtId="0" fontId="23" fillId="3" borderId="28" xfId="0" applyFont="1" applyFill="1" applyBorder="1" applyAlignment="1" applyProtection="1">
      <alignment horizontal="center" vertical="center"/>
      <protection locked="0"/>
    </xf>
    <xf numFmtId="0" fontId="23" fillId="3" borderId="29" xfId="0" applyFont="1" applyFill="1" applyBorder="1" applyAlignment="1" applyProtection="1">
      <alignment horizontal="center" vertical="center"/>
      <protection locked="0"/>
    </xf>
    <xf numFmtId="0" fontId="23" fillId="3" borderId="30" xfId="0" applyFont="1" applyFill="1" applyBorder="1" applyAlignment="1" applyProtection="1">
      <alignment horizontal="center" vertical="center"/>
      <protection locked="0"/>
    </xf>
    <xf numFmtId="0" fontId="6" fillId="3" borderId="28" xfId="0" applyFont="1" applyFill="1" applyBorder="1" applyAlignment="1" applyProtection="1">
      <alignment horizontal="center" vertical="center"/>
      <protection locked="0"/>
    </xf>
    <xf numFmtId="0" fontId="20" fillId="3" borderId="29" xfId="0" applyFont="1" applyFill="1" applyBorder="1" applyAlignment="1" applyProtection="1">
      <alignment horizontal="center" vertical="center"/>
      <protection locked="0"/>
    </xf>
    <xf numFmtId="0" fontId="20" fillId="3" borderId="30" xfId="0" applyFont="1" applyFill="1" applyBorder="1" applyAlignment="1" applyProtection="1">
      <alignment horizontal="center" vertical="center"/>
      <protection locked="0"/>
    </xf>
    <xf numFmtId="0" fontId="16" fillId="2" borderId="3" xfId="0" applyFont="1" applyFill="1" applyBorder="1" applyAlignment="1" applyProtection="1">
      <alignment horizontal="center" vertical="center" wrapText="1"/>
    </xf>
    <xf numFmtId="0" fontId="16" fillId="2" borderId="5" xfId="0" applyFont="1" applyFill="1" applyBorder="1" applyAlignment="1" applyProtection="1">
      <alignment horizontal="center" vertical="center" wrapText="1"/>
    </xf>
    <xf numFmtId="0" fontId="63" fillId="7" borderId="33" xfId="0" applyFont="1" applyFill="1" applyBorder="1" applyAlignment="1" applyProtection="1">
      <alignment horizontal="center" vertical="center"/>
    </xf>
    <xf numFmtId="0" fontId="36" fillId="7" borderId="19" xfId="0" applyFont="1" applyFill="1" applyBorder="1" applyAlignment="1" applyProtection="1">
      <alignment horizontal="center" vertical="center"/>
    </xf>
    <xf numFmtId="0" fontId="36" fillId="7" borderId="34" xfId="0" applyFont="1" applyFill="1" applyBorder="1" applyAlignment="1" applyProtection="1">
      <alignment horizontal="center" vertical="center"/>
    </xf>
    <xf numFmtId="0" fontId="16" fillId="2" borderId="5" xfId="0" applyFont="1" applyFill="1" applyBorder="1" applyAlignment="1" applyProtection="1">
      <alignment horizontal="center" vertical="center"/>
    </xf>
    <xf numFmtId="0" fontId="16" fillId="2" borderId="6" xfId="0" applyFont="1" applyFill="1" applyBorder="1" applyAlignment="1" applyProtection="1">
      <alignment horizontal="center" vertical="center"/>
    </xf>
    <xf numFmtId="0" fontId="16" fillId="2" borderId="3" xfId="0" applyFont="1" applyFill="1" applyBorder="1" applyAlignment="1" applyProtection="1">
      <alignment horizontal="center" vertical="center"/>
    </xf>
    <xf numFmtId="2" fontId="5" fillId="8" borderId="28" xfId="0" applyNumberFormat="1" applyFont="1" applyFill="1" applyBorder="1" applyAlignment="1" applyProtection="1">
      <alignment horizontal="center" vertical="center"/>
      <protection locked="0"/>
    </xf>
    <xf numFmtId="2" fontId="20" fillId="8" borderId="29" xfId="0" applyNumberFormat="1" applyFont="1" applyFill="1" applyBorder="1" applyAlignment="1" applyProtection="1">
      <alignment horizontal="center" vertical="center"/>
      <protection locked="0"/>
    </xf>
    <xf numFmtId="2" fontId="20" fillId="8" borderId="30" xfId="0" applyNumberFormat="1" applyFont="1" applyFill="1" applyBorder="1" applyAlignment="1" applyProtection="1">
      <alignment horizontal="center" vertical="center"/>
      <protection locked="0"/>
    </xf>
    <xf numFmtId="0" fontId="15" fillId="2" borderId="2" xfId="0" applyFont="1" applyFill="1" applyBorder="1" applyAlignment="1" applyProtection="1">
      <alignment horizontal="center" vertical="center"/>
    </xf>
    <xf numFmtId="0" fontId="15" fillId="2" borderId="1" xfId="0" applyFont="1" applyFill="1" applyBorder="1" applyAlignment="1" applyProtection="1">
      <alignment horizontal="center" vertical="center"/>
    </xf>
    <xf numFmtId="0" fontId="15" fillId="2" borderId="4" xfId="0" applyFont="1" applyFill="1" applyBorder="1" applyAlignment="1" applyProtection="1">
      <alignment horizontal="center" vertical="center"/>
    </xf>
    <xf numFmtId="0" fontId="42" fillId="5" borderId="0" xfId="0" applyFont="1" applyFill="1" applyBorder="1" applyAlignment="1" applyProtection="1">
      <alignment horizontal="center" vertical="center"/>
    </xf>
    <xf numFmtId="14" fontId="46" fillId="4" borderId="1" xfId="0" applyNumberFormat="1" applyFont="1" applyFill="1" applyBorder="1" applyAlignment="1" applyProtection="1">
      <alignment horizontal="center" vertical="center"/>
      <protection locked="0"/>
    </xf>
    <xf numFmtId="0" fontId="29" fillId="3" borderId="5" xfId="0" applyFont="1" applyFill="1" applyBorder="1" applyAlignment="1" applyProtection="1">
      <alignment horizontal="center" vertical="center"/>
    </xf>
    <xf numFmtId="0" fontId="29" fillId="3" borderId="0" xfId="0" applyFont="1" applyFill="1" applyBorder="1" applyAlignment="1" applyProtection="1">
      <alignment horizontal="center" vertical="center"/>
    </xf>
    <xf numFmtId="166" fontId="29" fillId="4" borderId="17" xfId="0" applyNumberFormat="1" applyFont="1" applyFill="1" applyBorder="1" applyAlignment="1" applyProtection="1">
      <alignment horizontal="left" vertical="center"/>
      <protection locked="0"/>
    </xf>
    <xf numFmtId="166" fontId="29" fillId="4" borderId="43" xfId="0" applyNumberFormat="1" applyFont="1" applyFill="1" applyBorder="1" applyAlignment="1" applyProtection="1">
      <alignment horizontal="left" vertical="center"/>
      <protection locked="0"/>
    </xf>
    <xf numFmtId="166" fontId="29" fillId="4" borderId="15" xfId="0" applyNumberFormat="1" applyFont="1" applyFill="1" applyBorder="1" applyAlignment="1" applyProtection="1">
      <alignment horizontal="left" vertical="center"/>
      <protection locked="0"/>
    </xf>
    <xf numFmtId="0" fontId="20" fillId="8" borderId="29" xfId="0" applyNumberFormat="1" applyFont="1" applyFill="1" applyBorder="1" applyAlignment="1" applyProtection="1">
      <alignment horizontal="center" vertical="center"/>
      <protection locked="0"/>
    </xf>
    <xf numFmtId="0" fontId="20" fillId="8" borderId="30" xfId="0" applyNumberFormat="1" applyFont="1" applyFill="1" applyBorder="1" applyAlignment="1" applyProtection="1">
      <alignment horizontal="center" vertical="center"/>
      <protection locked="0"/>
    </xf>
  </cellXfs>
  <cellStyles count="1">
    <cellStyle name="Standard" xfId="0" builtinId="0"/>
  </cellStyles>
  <dxfs count="2488">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00B050"/>
      </font>
    </dxf>
    <dxf>
      <font>
        <color rgb="FFFF0000"/>
      </font>
    </dxf>
    <dxf>
      <font>
        <b/>
        <i val="0"/>
        <color rgb="FFFF0000"/>
      </font>
    </dxf>
    <dxf>
      <font>
        <color rgb="FF00B050"/>
      </font>
    </dxf>
    <dxf>
      <font>
        <color theme="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00B050"/>
      </font>
    </dxf>
    <dxf>
      <font>
        <color rgb="FFFF0000"/>
      </font>
    </dxf>
    <dxf>
      <font>
        <b/>
        <i val="0"/>
        <color rgb="FFFF0000"/>
      </font>
    </dxf>
    <dxf>
      <font>
        <color rgb="FF00B050"/>
      </font>
    </dxf>
    <dxf>
      <font>
        <color theme="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00B050"/>
      </font>
    </dxf>
    <dxf>
      <font>
        <color rgb="FFFF0000"/>
      </font>
    </dxf>
    <dxf>
      <font>
        <b/>
        <i val="0"/>
        <color rgb="FFFF0000"/>
      </font>
    </dxf>
    <dxf>
      <font>
        <color rgb="FF00B050"/>
      </font>
    </dxf>
    <dxf>
      <font>
        <color theme="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00B050"/>
      </font>
    </dxf>
    <dxf>
      <font>
        <color rgb="FFFF0000"/>
      </font>
    </dxf>
    <dxf>
      <font>
        <b/>
        <i val="0"/>
        <color rgb="FFFF0000"/>
      </font>
    </dxf>
    <dxf>
      <font>
        <color rgb="FF00B050"/>
      </font>
    </dxf>
    <dxf>
      <font>
        <color theme="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00B050"/>
      </font>
    </dxf>
    <dxf>
      <font>
        <color rgb="FFFF0000"/>
      </font>
    </dxf>
    <dxf>
      <font>
        <b/>
        <i val="0"/>
        <color rgb="FFFF0000"/>
      </font>
    </dxf>
    <dxf>
      <font>
        <color rgb="FF00B050"/>
      </font>
    </dxf>
    <dxf>
      <font>
        <color theme="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00B050"/>
      </font>
    </dxf>
    <dxf>
      <font>
        <color rgb="FFFF0000"/>
      </font>
    </dxf>
    <dxf>
      <font>
        <b/>
        <i val="0"/>
        <color rgb="FFFF0000"/>
      </font>
    </dxf>
    <dxf>
      <font>
        <color rgb="FF00B050"/>
      </font>
    </dxf>
    <dxf>
      <font>
        <color theme="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00B050"/>
      </font>
    </dxf>
    <dxf>
      <font>
        <color rgb="FFFF0000"/>
      </font>
    </dxf>
    <dxf>
      <font>
        <b/>
        <i val="0"/>
        <color rgb="FFFF0000"/>
      </font>
    </dxf>
    <dxf>
      <font>
        <color rgb="FF00B050"/>
      </font>
    </dxf>
    <dxf>
      <font>
        <color theme="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00B050"/>
      </font>
    </dxf>
    <dxf>
      <font>
        <color rgb="FFFF0000"/>
      </font>
    </dxf>
    <dxf>
      <font>
        <b/>
        <i val="0"/>
        <color rgb="FFFF0000"/>
      </font>
    </dxf>
    <dxf>
      <font>
        <color rgb="FF00B050"/>
      </font>
    </dxf>
    <dxf>
      <font>
        <color theme="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00B050"/>
      </font>
    </dxf>
    <dxf>
      <font>
        <color rgb="FFFF0000"/>
      </font>
    </dxf>
    <dxf>
      <font>
        <b/>
        <i val="0"/>
        <color rgb="FFFF0000"/>
      </font>
    </dxf>
    <dxf>
      <font>
        <color rgb="FF00B050"/>
      </font>
    </dxf>
    <dxf>
      <font>
        <color theme="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00B050"/>
      </font>
    </dxf>
    <dxf>
      <font>
        <color rgb="FFFF0000"/>
      </font>
    </dxf>
    <dxf>
      <font>
        <b/>
        <i val="0"/>
        <color rgb="FFFF0000"/>
      </font>
    </dxf>
    <dxf>
      <font>
        <color rgb="FF00B050"/>
      </font>
    </dxf>
    <dxf>
      <font>
        <color theme="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00B050"/>
      </font>
    </dxf>
    <dxf>
      <font>
        <color rgb="FFFF0000"/>
      </font>
    </dxf>
    <dxf>
      <font>
        <b/>
        <i val="0"/>
        <color rgb="FFFF0000"/>
      </font>
    </dxf>
    <dxf>
      <font>
        <color rgb="FF00B050"/>
      </font>
    </dxf>
    <dxf>
      <font>
        <color theme="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00B050"/>
      </font>
    </dxf>
    <dxf>
      <font>
        <color rgb="FFFF0000"/>
      </font>
    </dxf>
    <dxf>
      <font>
        <b/>
        <i val="0"/>
        <color rgb="FFFF0000"/>
      </font>
    </dxf>
    <dxf>
      <font>
        <color rgb="FF00B050"/>
      </font>
    </dxf>
    <dxf>
      <font>
        <color theme="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0" tint="-0.14996795556505021"/>
        </patternFill>
      </fill>
    </dxf>
    <dxf>
      <font>
        <color rgb="FF00B050"/>
      </font>
    </dxf>
    <dxf>
      <font>
        <color rgb="FFFF0000"/>
      </font>
    </dxf>
    <dxf>
      <font>
        <b/>
        <i val="0"/>
        <color rgb="FFFF0000"/>
      </font>
    </dxf>
    <dxf>
      <font>
        <color rgb="FF00B050"/>
      </font>
    </dxf>
    <dxf>
      <font>
        <color theme="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DAEE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7</xdr:col>
      <xdr:colOff>585788</xdr:colOff>
      <xdr:row>21</xdr:row>
      <xdr:rowOff>28578</xdr:rowOff>
    </xdr:from>
    <xdr:to>
      <xdr:col>10</xdr:col>
      <xdr:colOff>609600</xdr:colOff>
      <xdr:row>52</xdr:row>
      <xdr:rowOff>5</xdr:rowOff>
    </xdr:to>
    <xdr:sp macro="" textlink="">
      <xdr:nvSpPr>
        <xdr:cNvPr id="3" name="Warnung" hidden="1"/>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585788</xdr:colOff>
      <xdr:row>21</xdr:row>
      <xdr:rowOff>28578</xdr:rowOff>
    </xdr:from>
    <xdr:to>
      <xdr:col>10</xdr:col>
      <xdr:colOff>609600</xdr:colOff>
      <xdr:row>52</xdr:row>
      <xdr:rowOff>5</xdr:rowOff>
    </xdr:to>
    <xdr:sp macro="" textlink="">
      <xdr:nvSpPr>
        <xdr:cNvPr id="3" name="Warnung" hidden="1"/>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585788</xdr:colOff>
      <xdr:row>21</xdr:row>
      <xdr:rowOff>28578</xdr:rowOff>
    </xdr:from>
    <xdr:to>
      <xdr:col>10</xdr:col>
      <xdr:colOff>609600</xdr:colOff>
      <xdr:row>52</xdr:row>
      <xdr:rowOff>5</xdr:rowOff>
    </xdr:to>
    <xdr:sp macro="" textlink="">
      <xdr:nvSpPr>
        <xdr:cNvPr id="3" name="Warnung" hidden="1"/>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585788</xdr:colOff>
      <xdr:row>21</xdr:row>
      <xdr:rowOff>28578</xdr:rowOff>
    </xdr:from>
    <xdr:to>
      <xdr:col>10</xdr:col>
      <xdr:colOff>609600</xdr:colOff>
      <xdr:row>52</xdr:row>
      <xdr:rowOff>5</xdr:rowOff>
    </xdr:to>
    <xdr:sp macro="" textlink="">
      <xdr:nvSpPr>
        <xdr:cNvPr id="3" name="Warnung" hidden="1"/>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585788</xdr:colOff>
      <xdr:row>21</xdr:row>
      <xdr:rowOff>28578</xdr:rowOff>
    </xdr:from>
    <xdr:to>
      <xdr:col>10</xdr:col>
      <xdr:colOff>609600</xdr:colOff>
      <xdr:row>52</xdr:row>
      <xdr:rowOff>5</xdr:rowOff>
    </xdr:to>
    <xdr:sp macro="" textlink="">
      <xdr:nvSpPr>
        <xdr:cNvPr id="3" name="Warnung" hidden="1"/>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585788</xdr:colOff>
      <xdr:row>21</xdr:row>
      <xdr:rowOff>28578</xdr:rowOff>
    </xdr:from>
    <xdr:to>
      <xdr:col>10</xdr:col>
      <xdr:colOff>609600</xdr:colOff>
      <xdr:row>52</xdr:row>
      <xdr:rowOff>5</xdr:rowOff>
    </xdr:to>
    <xdr:sp macro="" textlink="">
      <xdr:nvSpPr>
        <xdr:cNvPr id="3" name="Warnung" hidden="1"/>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585788</xdr:colOff>
      <xdr:row>21</xdr:row>
      <xdr:rowOff>28578</xdr:rowOff>
    </xdr:from>
    <xdr:to>
      <xdr:col>10</xdr:col>
      <xdr:colOff>609600</xdr:colOff>
      <xdr:row>52</xdr:row>
      <xdr:rowOff>5</xdr:rowOff>
    </xdr:to>
    <xdr:sp macro="" textlink="">
      <xdr:nvSpPr>
        <xdr:cNvPr id="3" name="Warnung" hidden="1"/>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585788</xdr:colOff>
      <xdr:row>21</xdr:row>
      <xdr:rowOff>28578</xdr:rowOff>
    </xdr:from>
    <xdr:to>
      <xdr:col>10</xdr:col>
      <xdr:colOff>609600</xdr:colOff>
      <xdr:row>52</xdr:row>
      <xdr:rowOff>5</xdr:rowOff>
    </xdr:to>
    <xdr:sp macro="" textlink="">
      <xdr:nvSpPr>
        <xdr:cNvPr id="3" name="Warnung" hidden="1"/>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585788</xdr:colOff>
      <xdr:row>21</xdr:row>
      <xdr:rowOff>28578</xdr:rowOff>
    </xdr:from>
    <xdr:to>
      <xdr:col>10</xdr:col>
      <xdr:colOff>609600</xdr:colOff>
      <xdr:row>52</xdr:row>
      <xdr:rowOff>5</xdr:rowOff>
    </xdr:to>
    <xdr:sp macro="" textlink="">
      <xdr:nvSpPr>
        <xdr:cNvPr id="3" name="Warnung" hidden="1"/>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585788</xdr:colOff>
      <xdr:row>21</xdr:row>
      <xdr:rowOff>28578</xdr:rowOff>
    </xdr:from>
    <xdr:to>
      <xdr:col>10</xdr:col>
      <xdr:colOff>609600</xdr:colOff>
      <xdr:row>52</xdr:row>
      <xdr:rowOff>5</xdr:rowOff>
    </xdr:to>
    <xdr:sp macro="" textlink="">
      <xdr:nvSpPr>
        <xdr:cNvPr id="3" name="Warnung" hidden="1"/>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585788</xdr:colOff>
      <xdr:row>21</xdr:row>
      <xdr:rowOff>28578</xdr:rowOff>
    </xdr:from>
    <xdr:to>
      <xdr:col>10</xdr:col>
      <xdr:colOff>609600</xdr:colOff>
      <xdr:row>52</xdr:row>
      <xdr:rowOff>5</xdr:rowOff>
    </xdr:to>
    <xdr:sp macro="" textlink="">
      <xdr:nvSpPr>
        <xdr:cNvPr id="3" name="Warnung" hidden="1"/>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7</xdr:col>
      <xdr:colOff>585788</xdr:colOff>
      <xdr:row>21</xdr:row>
      <xdr:rowOff>28578</xdr:rowOff>
    </xdr:from>
    <xdr:to>
      <xdr:col>10</xdr:col>
      <xdr:colOff>609600</xdr:colOff>
      <xdr:row>52</xdr:row>
      <xdr:rowOff>5</xdr:rowOff>
    </xdr:to>
    <xdr:sp macro="" textlink="">
      <xdr:nvSpPr>
        <xdr:cNvPr id="3" name="Warnung" hidden="1"/>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7</xdr:col>
      <xdr:colOff>585788</xdr:colOff>
      <xdr:row>21</xdr:row>
      <xdr:rowOff>28578</xdr:rowOff>
    </xdr:from>
    <xdr:to>
      <xdr:col>10</xdr:col>
      <xdr:colOff>609600</xdr:colOff>
      <xdr:row>52</xdr:row>
      <xdr:rowOff>5</xdr:rowOff>
    </xdr:to>
    <xdr:sp macro="" textlink="">
      <xdr:nvSpPr>
        <xdr:cNvPr id="3" name="Warnung" hidden="1"/>
        <xdr:cNvSpPr txBox="1"/>
      </xdr:nvSpPr>
      <xdr:spPr>
        <a:xfrm rot="16200000" flipH="1">
          <a:off x="1712118" y="7950998"/>
          <a:ext cx="7943852" cy="185261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4800" b="1" cap="none" spc="0">
              <a:ln w="22225">
                <a:solidFill>
                  <a:schemeClr val="accent2"/>
                </a:solidFill>
                <a:prstDash val="solid"/>
              </a:ln>
              <a:solidFill>
                <a:schemeClr val="accent2">
                  <a:lumMod val="40000"/>
                  <a:lumOff val="60000"/>
                </a:schemeClr>
              </a:solidFill>
              <a:effectLst/>
            </a:rPr>
            <a:t>Überschreitung der Monatsarbeitszeit um &gt;50%</a:t>
          </a:r>
        </a:p>
      </xdr:txBody>
    </xdr:sp>
    <xdr:clientData/>
  </xdr:twoCellAnchor>
</xdr:wsDr>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Ananke">
      <a:fillStyleLst>
        <a:solidFill>
          <a:schemeClr val="phClr"/>
        </a:solidFill>
        <a:gradFill rotWithShape="1">
          <a:gsLst>
            <a:gs pos="20000">
              <a:schemeClr val="phClr">
                <a:tint val="9000"/>
              </a:schemeClr>
            </a:gs>
            <a:gs pos="100000">
              <a:schemeClr val="phClr">
                <a:tint val="70000"/>
                <a:satMod val="100000"/>
              </a:schemeClr>
            </a:gs>
          </a:gsLst>
          <a:path path="circle">
            <a:fillToRect l="-15000" t="-15000" r="115000" b="115000"/>
          </a:path>
        </a:gradFill>
        <a:gradFill rotWithShape="1">
          <a:gsLst>
            <a:gs pos="0">
              <a:schemeClr val="phClr">
                <a:shade val="60000"/>
              </a:schemeClr>
            </a:gs>
            <a:gs pos="33000">
              <a:schemeClr val="phClr">
                <a:tint val="86500"/>
              </a:schemeClr>
            </a:gs>
            <a:gs pos="46750">
              <a:schemeClr val="phClr">
                <a:tint val="71000"/>
                <a:satMod val="112000"/>
              </a:schemeClr>
            </a:gs>
            <a:gs pos="53000">
              <a:schemeClr val="phClr">
                <a:tint val="71000"/>
                <a:satMod val="112000"/>
              </a:schemeClr>
            </a:gs>
            <a:gs pos="68000">
              <a:schemeClr val="phClr">
                <a:tint val="86000"/>
              </a:schemeClr>
            </a:gs>
            <a:gs pos="100000">
              <a:schemeClr val="phClr">
                <a:shade val="60000"/>
              </a:schemeClr>
            </a:gs>
          </a:gsLst>
          <a:lin ang="8350000" scaled="1"/>
        </a:gradFill>
      </a:fillStyleLst>
      <a:lnStyleLst>
        <a:ln w="9525" cap="flat" cmpd="sng" algn="ctr">
          <a:solidFill>
            <a:schemeClr val="phClr">
              <a:shade val="48000"/>
              <a:satMod val="110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130000" dist="101600" dir="2700000" algn="tl" rotWithShape="0">
              <a:srgbClr val="000000">
                <a:alpha val="35000"/>
              </a:srgbClr>
            </a:outerShdw>
          </a:effectLst>
        </a:effectStyle>
        <a:effectStyle>
          <a:effectLst>
            <a:outerShdw blurRad="190500" dist="228600" dir="2700000" sy="90000" rotWithShape="0">
              <a:srgbClr val="000000">
                <a:alpha val="25500"/>
              </a:srgbClr>
            </a:outerShdw>
          </a:effectLst>
        </a:effectStyle>
        <a:effectStyle>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vmlDrawing" Target="../drawings/vmlDrawing5.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vmlDrawing" Target="../drawings/vmlDrawing7.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omments" Target="../comments4.xml"/><Relationship Id="rId4" Type="http://schemas.openxmlformats.org/officeDocument/2006/relationships/vmlDrawing" Target="../drawings/vmlDrawing9.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comments" Target="../comments5.xml"/><Relationship Id="rId4" Type="http://schemas.openxmlformats.org/officeDocument/2006/relationships/vmlDrawing" Target="../drawings/vmlDrawing11.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vmlDrawing" Target="../drawings/vmlDrawing13.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vmlDrawing" Target="../drawings/vmlDrawing15.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vmlDrawing" Target="../drawings/vmlDrawing17.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vmlDrawing" Target="../drawings/vmlDrawing19.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vmlDrawing" Target="../drawings/vmlDrawing21.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vmlDrawing" Target="../drawings/vmlDrawing23.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vmlDrawing" Target="../drawings/vmlDrawing2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pageSetUpPr fitToPage="1"/>
  </sheetPr>
  <dimension ref="A1:IR82"/>
  <sheetViews>
    <sheetView workbookViewId="0">
      <selection activeCell="E11" sqref="E11:O11"/>
    </sheetView>
  </sheetViews>
  <sheetFormatPr baseColWidth="10" defaultColWidth="6.25" defaultRowHeight="14.25" zeroHeight="1"/>
  <cols>
    <col min="1" max="1" width="5" customWidth="1"/>
    <col min="2" max="2" width="22.75" bestFit="1" customWidth="1"/>
    <col min="3" max="3" width="14.375" bestFit="1" customWidth="1"/>
    <col min="4" max="8" width="7.75" customWidth="1"/>
    <col min="9" max="13" width="8.125" customWidth="1"/>
    <col min="14" max="14" width="7.5" customWidth="1"/>
    <col min="15" max="15" width="10" customWidth="1"/>
    <col min="16" max="16" width="7.5" customWidth="1"/>
    <col min="17" max="17" width="5" customWidth="1"/>
    <col min="18" max="18" width="10.125" customWidth="1"/>
    <col min="19" max="19" width="7.5" bestFit="1" customWidth="1"/>
    <col min="20" max="20" width="7.125" bestFit="1" customWidth="1"/>
    <col min="21" max="21" width="7.25" bestFit="1" customWidth="1"/>
    <col min="22" max="22" width="7.75" bestFit="1" customWidth="1"/>
    <col min="23" max="23" width="7.5" bestFit="1" customWidth="1"/>
    <col min="24" max="24" width="8.125" bestFit="1" customWidth="1"/>
    <col min="25" max="25" width="7.25" bestFit="1" customWidth="1"/>
    <col min="26" max="26" width="7.25" customWidth="1"/>
    <col min="27" max="27" width="10.5" customWidth="1"/>
    <col min="28" max="28" width="9.875" customWidth="1"/>
    <col min="29" max="31" width="11.125" customWidth="1"/>
    <col min="32" max="102" width="6.25" customWidth="1"/>
    <col min="103" max="252" width="6.25" style="3" customWidth="1"/>
    <col min="253" max="16384" width="6.25" style="3"/>
  </cols>
  <sheetData>
    <row r="1" spans="1:102" ht="11.25" customHeight="1">
      <c r="A1" s="3"/>
      <c r="B1" s="92"/>
      <c r="C1" s="92"/>
      <c r="D1" s="92"/>
      <c r="E1" s="92"/>
      <c r="F1" s="92"/>
      <c r="G1" s="92"/>
      <c r="H1" s="92"/>
      <c r="I1" s="92"/>
      <c r="J1" s="92"/>
      <c r="K1" s="92"/>
      <c r="L1" s="92"/>
      <c r="M1" s="92"/>
      <c r="N1" s="92"/>
      <c r="O1" s="92"/>
      <c r="P1" s="8"/>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row>
    <row r="2" spans="1:102" ht="18.75" customHeight="1">
      <c r="A2" s="3"/>
      <c r="B2" s="221" t="s">
        <v>68</v>
      </c>
      <c r="C2" s="221"/>
      <c r="D2" s="221"/>
      <c r="E2" s="221"/>
      <c r="F2" s="221"/>
      <c r="G2" s="221"/>
      <c r="H2" s="221"/>
      <c r="I2" s="221"/>
      <c r="J2" s="221"/>
      <c r="K2" s="90">
        <v>2017</v>
      </c>
      <c r="L2" s="93"/>
      <c r="M2" s="93"/>
      <c r="N2" s="93"/>
      <c r="O2" s="93"/>
      <c r="P2" s="94"/>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row>
    <row r="3" spans="1:102" ht="11.25" customHeight="1">
      <c r="A3" s="3"/>
      <c r="B3" s="10"/>
      <c r="C3" s="10"/>
      <c r="D3" s="10"/>
      <c r="E3" s="10"/>
      <c r="F3" s="10"/>
      <c r="G3" s="10"/>
      <c r="H3" s="10"/>
      <c r="I3" s="10"/>
      <c r="J3" s="10"/>
      <c r="K3" s="10"/>
      <c r="L3" s="10"/>
      <c r="M3" s="10"/>
      <c r="N3" s="10"/>
      <c r="O3" s="10"/>
      <c r="P3" s="8"/>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c r="CG3" s="3"/>
      <c r="CH3" s="3"/>
      <c r="CI3" s="3"/>
      <c r="CJ3" s="3"/>
      <c r="CK3" s="3"/>
      <c r="CL3" s="3"/>
      <c r="CM3" s="3"/>
      <c r="CN3" s="3"/>
      <c r="CO3" s="3"/>
      <c r="CP3" s="3"/>
      <c r="CQ3" s="3"/>
      <c r="CR3" s="3"/>
      <c r="CS3" s="3"/>
      <c r="CT3" s="3"/>
      <c r="CU3" s="3"/>
      <c r="CV3" s="3"/>
      <c r="CW3" s="3"/>
      <c r="CX3" s="3"/>
    </row>
    <row r="4" spans="1:102" ht="15" customHeight="1">
      <c r="A4" s="3"/>
      <c r="B4" s="11"/>
      <c r="C4" s="12"/>
      <c r="D4" s="12"/>
      <c r="E4" s="12"/>
      <c r="F4" s="12"/>
      <c r="G4" s="12"/>
      <c r="H4" s="12"/>
      <c r="I4" s="12"/>
      <c r="J4" s="12"/>
      <c r="K4" s="12"/>
      <c r="L4" s="12"/>
      <c r="M4" s="12"/>
      <c r="N4" s="12"/>
      <c r="O4" s="12"/>
      <c r="P4" s="1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3"/>
      <c r="CH4" s="3"/>
      <c r="CI4" s="3"/>
      <c r="CJ4" s="3"/>
      <c r="CK4" s="3"/>
      <c r="CL4" s="3"/>
      <c r="CM4" s="3"/>
      <c r="CN4" s="3"/>
      <c r="CO4" s="3"/>
      <c r="CP4" s="3"/>
      <c r="CQ4" s="3"/>
      <c r="CR4" s="3"/>
      <c r="CS4" s="3"/>
      <c r="CT4" s="3"/>
      <c r="CU4" s="3"/>
      <c r="CV4" s="3"/>
      <c r="CW4" s="3"/>
      <c r="CX4" s="3"/>
    </row>
    <row r="5" spans="1:102" ht="22.5" customHeight="1">
      <c r="A5" s="3"/>
      <c r="B5" s="107"/>
      <c r="C5" s="25" t="s">
        <v>3</v>
      </c>
      <c r="D5" s="15"/>
      <c r="E5" s="214" t="s">
        <v>87</v>
      </c>
      <c r="F5" s="222"/>
      <c r="G5" s="222"/>
      <c r="H5" s="223"/>
      <c r="I5" s="16"/>
      <c r="J5" s="25" t="s">
        <v>65</v>
      </c>
      <c r="K5" s="16"/>
      <c r="L5" s="57"/>
      <c r="M5" s="224">
        <v>419510</v>
      </c>
      <c r="N5" s="222"/>
      <c r="O5" s="223"/>
      <c r="P5" s="17"/>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row>
    <row r="6" spans="1:102" ht="15">
      <c r="A6" s="3"/>
      <c r="B6" s="18"/>
      <c r="C6" s="19"/>
      <c r="D6" s="19"/>
      <c r="E6" s="19"/>
      <c r="F6" s="19"/>
      <c r="G6" s="20"/>
      <c r="H6" s="20"/>
      <c r="I6" s="16"/>
      <c r="J6" s="16"/>
      <c r="K6" s="57"/>
      <c r="L6" s="57"/>
      <c r="M6" s="57"/>
      <c r="N6" s="57"/>
      <c r="O6" s="57"/>
      <c r="P6" s="2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row>
    <row r="7" spans="1:102" ht="22.5" customHeight="1">
      <c r="A7" s="3"/>
      <c r="B7" s="107"/>
      <c r="C7" s="25" t="s">
        <v>7</v>
      </c>
      <c r="D7" s="16"/>
      <c r="E7" s="225" t="s">
        <v>84</v>
      </c>
      <c r="F7" s="226"/>
      <c r="G7" s="226"/>
      <c r="H7" s="227"/>
      <c r="I7" s="16"/>
      <c r="J7" s="25" t="s">
        <v>69</v>
      </c>
      <c r="K7" s="16"/>
      <c r="L7" s="57"/>
      <c r="M7" s="228"/>
      <c r="N7" s="229"/>
      <c r="O7" s="230"/>
      <c r="P7" s="2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row>
    <row r="8" spans="1:102" ht="15">
      <c r="A8" s="3"/>
      <c r="B8" s="14"/>
      <c r="C8" s="25"/>
      <c r="D8" s="25"/>
      <c r="E8" s="25"/>
      <c r="F8" s="19"/>
      <c r="G8" s="26"/>
      <c r="H8" s="26"/>
      <c r="I8" s="26"/>
      <c r="J8" s="57"/>
      <c r="K8" s="57"/>
      <c r="L8" s="57"/>
      <c r="M8" s="57"/>
      <c r="N8" s="57"/>
      <c r="O8" s="57"/>
      <c r="P8" s="2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row>
    <row r="9" spans="1:102" ht="22.5" customHeight="1">
      <c r="A9" s="3"/>
      <c r="B9" s="107"/>
      <c r="C9" s="25" t="s">
        <v>72</v>
      </c>
      <c r="D9" s="16"/>
      <c r="E9" s="217">
        <v>10</v>
      </c>
      <c r="F9" s="218"/>
      <c r="G9" s="218"/>
      <c r="H9" s="219"/>
      <c r="I9" s="16"/>
      <c r="J9" s="25"/>
      <c r="K9" s="16"/>
      <c r="L9" s="57"/>
      <c r="M9" s="220"/>
      <c r="N9" s="220"/>
      <c r="O9" s="220"/>
      <c r="P9" s="2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row>
    <row r="10" spans="1:102" ht="15.75" customHeight="1">
      <c r="A10" s="3"/>
      <c r="B10" s="107"/>
      <c r="C10" s="231"/>
      <c r="D10" s="231"/>
      <c r="E10" s="231"/>
      <c r="F10" s="231"/>
      <c r="G10" s="231"/>
      <c r="H10" s="231"/>
      <c r="I10" s="231"/>
      <c r="J10" s="231"/>
      <c r="K10" s="16"/>
      <c r="L10" s="57"/>
      <c r="M10" s="194"/>
      <c r="N10" s="194"/>
      <c r="O10" s="194"/>
      <c r="P10" s="2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row>
    <row r="11" spans="1:102" ht="22.5" customHeight="1">
      <c r="A11" s="3"/>
      <c r="B11" s="107"/>
      <c r="C11" s="25" t="s">
        <v>73</v>
      </c>
      <c r="D11" s="16"/>
      <c r="E11" s="214" t="s">
        <v>86</v>
      </c>
      <c r="F11" s="215"/>
      <c r="G11" s="215"/>
      <c r="H11" s="215"/>
      <c r="I11" s="215"/>
      <c r="J11" s="215"/>
      <c r="K11" s="215"/>
      <c r="L11" s="215"/>
      <c r="M11" s="215"/>
      <c r="N11" s="215"/>
      <c r="O11" s="216"/>
      <c r="P11" s="2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row>
    <row r="12" spans="1:102" ht="15">
      <c r="A12" s="3"/>
      <c r="B12" s="85"/>
      <c r="C12" s="86"/>
      <c r="D12" s="87"/>
      <c r="E12" s="87"/>
      <c r="F12" s="87"/>
      <c r="G12" s="87"/>
      <c r="H12" s="87"/>
      <c r="I12" s="87"/>
      <c r="J12" s="87"/>
      <c r="K12" s="9"/>
      <c r="L12" s="9"/>
      <c r="M12" s="9"/>
      <c r="N12" s="9"/>
      <c r="O12" s="9"/>
      <c r="P12" s="28"/>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row>
    <row r="13" spans="1:102">
      <c r="AF13" s="96"/>
      <c r="AG13" s="96"/>
      <c r="AH13" s="96"/>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row>
    <row r="14" spans="1:102" s="4" customFormat="1" ht="18.75" customHeight="1">
      <c r="A14"/>
      <c r="B14" s="182" t="s">
        <v>64</v>
      </c>
      <c r="C14"/>
      <c r="D14"/>
      <c r="E14"/>
      <c r="F14"/>
      <c r="G14"/>
      <c r="H14"/>
      <c r="I14"/>
      <c r="J14"/>
      <c r="K14"/>
      <c r="L14"/>
      <c r="M14" s="184"/>
      <c r="N14"/>
      <c r="O14"/>
      <c r="P14"/>
      <c r="Q14"/>
      <c r="R14"/>
      <c r="S14"/>
      <c r="T14"/>
      <c r="U14"/>
      <c r="V14"/>
      <c r="W14"/>
      <c r="X14"/>
      <c r="Y14"/>
      <c r="Z14"/>
      <c r="AA14"/>
      <c r="AB14"/>
      <c r="AC14"/>
      <c r="AD14"/>
      <c r="AE14"/>
      <c r="AF14"/>
      <c r="AG14" s="98"/>
      <c r="AH14" s="98"/>
    </row>
    <row r="15" spans="1:102" ht="18.75" customHeight="1">
      <c r="J15" s="180"/>
      <c r="L15" s="181"/>
      <c r="M15" s="181"/>
      <c r="N15" s="181"/>
      <c r="O15" s="181"/>
      <c r="P15" s="181"/>
      <c r="AG15" s="96"/>
      <c r="AH15" s="96"/>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row>
    <row r="16" spans="1:102" ht="20.25" customHeight="1">
      <c r="B16" t="s">
        <v>50</v>
      </c>
      <c r="C16" s="179">
        <f>DATE($K$2,1,1)</f>
        <v>42736</v>
      </c>
      <c r="L16" s="181"/>
      <c r="M16" s="181"/>
      <c r="N16" s="181"/>
      <c r="O16" s="181"/>
      <c r="P16" s="181"/>
      <c r="AG16" s="96"/>
      <c r="AH16" s="96"/>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row>
    <row r="17" spans="1:252" s="96" customFormat="1" ht="20.25" customHeight="1">
      <c r="A17"/>
      <c r="B17" t="s">
        <v>51</v>
      </c>
      <c r="C17" s="179">
        <f>C18-2</f>
        <v>42839</v>
      </c>
      <c r="D17"/>
      <c r="E17"/>
      <c r="F17"/>
      <c r="G17"/>
      <c r="H17"/>
      <c r="I17"/>
      <c r="J17"/>
      <c r="K17"/>
      <c r="L17" s="181"/>
      <c r="M17" s="181"/>
      <c r="N17" s="181"/>
      <c r="O17" s="181"/>
      <c r="P17" s="181"/>
      <c r="Q17"/>
      <c r="R17"/>
      <c r="S17"/>
      <c r="T17"/>
      <c r="U17"/>
      <c r="V17"/>
      <c r="W17"/>
      <c r="X17"/>
      <c r="Y17"/>
      <c r="Z17"/>
      <c r="AA17"/>
      <c r="AB17"/>
      <c r="AC17"/>
      <c r="AD17"/>
      <c r="AE17"/>
      <c r="AF17"/>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c r="HF17" s="3"/>
      <c r="HG17" s="3"/>
      <c r="HH17" s="3"/>
      <c r="HI17" s="3"/>
      <c r="HJ17" s="3"/>
      <c r="HK17" s="3"/>
      <c r="HL17" s="3"/>
      <c r="HM17" s="3"/>
      <c r="HN17" s="3"/>
      <c r="HO17" s="3"/>
      <c r="HP17" s="3"/>
      <c r="HQ17" s="3"/>
      <c r="HR17" s="3"/>
      <c r="HS17" s="3"/>
      <c r="HT17" s="3"/>
      <c r="HU17" s="3"/>
      <c r="HV17" s="3"/>
      <c r="HW17" s="3"/>
      <c r="HX17" s="3"/>
      <c r="HY17" s="3"/>
      <c r="HZ17" s="3"/>
      <c r="IA17" s="3"/>
      <c r="IB17" s="3"/>
      <c r="IC17" s="3"/>
      <c r="ID17" s="3"/>
      <c r="IE17" s="3"/>
      <c r="IF17" s="3"/>
      <c r="IG17" s="3"/>
      <c r="IH17" s="3"/>
      <c r="II17" s="3"/>
      <c r="IJ17" s="3"/>
      <c r="IK17" s="3"/>
      <c r="IL17" s="3"/>
      <c r="IM17" s="3"/>
      <c r="IN17" s="3"/>
      <c r="IO17" s="3"/>
      <c r="IP17" s="3"/>
      <c r="IQ17" s="3"/>
      <c r="IR17" s="3"/>
    </row>
    <row r="18" spans="1:252" s="96" customFormat="1" ht="20.25" customHeight="1">
      <c r="A18"/>
      <c r="B18" t="s">
        <v>52</v>
      </c>
      <c r="C18" s="179">
        <f>DOLLAR((DAY(MINUTE($K$2/38)/2+55)&amp;".4."&amp;$K$2)/7,)*7-6</f>
        <v>42841</v>
      </c>
      <c r="D18"/>
      <c r="E18"/>
      <c r="F18"/>
      <c r="G18"/>
      <c r="H18"/>
      <c r="I18"/>
      <c r="J18"/>
      <c r="K18"/>
      <c r="L18" s="181"/>
      <c r="M18" s="181"/>
      <c r="N18" s="181"/>
      <c r="O18" s="181"/>
      <c r="P18" s="181"/>
      <c r="Q18"/>
      <c r="R18"/>
      <c r="S18"/>
      <c r="T18"/>
      <c r="U18"/>
      <c r="V18"/>
      <c r="W18"/>
      <c r="X18"/>
      <c r="Y18"/>
      <c r="Z18"/>
      <c r="AA18"/>
      <c r="AB18"/>
      <c r="AC18"/>
      <c r="AD18"/>
      <c r="AE18"/>
      <c r="AF18"/>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c r="HF18" s="3"/>
      <c r="HG18" s="3"/>
      <c r="HH18" s="3"/>
      <c r="HI18" s="3"/>
      <c r="HJ18" s="3"/>
      <c r="HK18" s="3"/>
      <c r="HL18" s="3"/>
      <c r="HM18" s="3"/>
      <c r="HN18" s="3"/>
      <c r="HO18" s="3"/>
      <c r="HP18" s="3"/>
      <c r="HQ18" s="3"/>
      <c r="HR18" s="3"/>
      <c r="HS18" s="3"/>
      <c r="HT18" s="3"/>
      <c r="HU18" s="3"/>
      <c r="HV18" s="3"/>
      <c r="HW18" s="3"/>
      <c r="HX18" s="3"/>
      <c r="HY18" s="3"/>
      <c r="HZ18" s="3"/>
      <c r="IA18" s="3"/>
      <c r="IB18" s="3"/>
      <c r="IC18" s="3"/>
      <c r="ID18" s="3"/>
      <c r="IE18" s="3"/>
      <c r="IF18" s="3"/>
      <c r="IG18" s="3"/>
      <c r="IH18" s="3"/>
      <c r="II18" s="3"/>
      <c r="IJ18" s="3"/>
      <c r="IK18" s="3"/>
      <c r="IL18" s="3"/>
      <c r="IM18" s="3"/>
      <c r="IN18" s="3"/>
      <c r="IO18" s="3"/>
      <c r="IP18" s="3"/>
      <c r="IQ18" s="3"/>
      <c r="IR18" s="3"/>
    </row>
    <row r="19" spans="1:252" s="96" customFormat="1" ht="20.25" customHeight="1">
      <c r="A19"/>
      <c r="B19" t="s">
        <v>53</v>
      </c>
      <c r="C19" s="179">
        <f>C18+1</f>
        <v>42842</v>
      </c>
      <c r="D19"/>
      <c r="E19"/>
      <c r="F19"/>
      <c r="G19"/>
      <c r="H19"/>
      <c r="I19"/>
      <c r="J19"/>
      <c r="K19"/>
      <c r="L19" s="181"/>
      <c r="M19" s="181"/>
      <c r="N19" s="181"/>
      <c r="O19" s="181"/>
      <c r="P19" s="181"/>
      <c r="Q19"/>
      <c r="R19"/>
      <c r="S19"/>
      <c r="T19"/>
      <c r="U19"/>
      <c r="V19"/>
      <c r="W19"/>
      <c r="X19"/>
      <c r="Y19"/>
      <c r="Z19"/>
      <c r="AA19"/>
      <c r="AB19"/>
      <c r="AC19"/>
      <c r="AD19"/>
      <c r="AE19"/>
      <c r="AF19"/>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c r="HF19" s="3"/>
      <c r="HG19" s="3"/>
      <c r="HH19" s="3"/>
      <c r="HI19" s="3"/>
      <c r="HJ19" s="3"/>
      <c r="HK19" s="3"/>
      <c r="HL19" s="3"/>
      <c r="HM19" s="3"/>
      <c r="HN19" s="3"/>
      <c r="HO19" s="3"/>
      <c r="HP19" s="3"/>
      <c r="HQ19" s="3"/>
      <c r="HR19" s="3"/>
      <c r="HS19" s="3"/>
      <c r="HT19" s="3"/>
      <c r="HU19" s="3"/>
      <c r="HV19" s="3"/>
      <c r="HW19" s="3"/>
      <c r="HX19" s="3"/>
      <c r="HY19" s="3"/>
      <c r="HZ19" s="3"/>
      <c r="IA19" s="3"/>
      <c r="IB19" s="3"/>
      <c r="IC19" s="3"/>
      <c r="ID19" s="3"/>
      <c r="IE19" s="3"/>
      <c r="IF19" s="3"/>
      <c r="IG19" s="3"/>
      <c r="IH19" s="3"/>
      <c r="II19" s="3"/>
      <c r="IJ19" s="3"/>
      <c r="IK19" s="3"/>
      <c r="IL19" s="3"/>
      <c r="IM19" s="3"/>
      <c r="IN19" s="3"/>
      <c r="IO19" s="3"/>
      <c r="IP19" s="3"/>
      <c r="IQ19" s="3"/>
      <c r="IR19" s="3"/>
    </row>
    <row r="20" spans="1:252" s="96" customFormat="1" ht="20.25" customHeight="1">
      <c r="A20"/>
      <c r="B20" t="s">
        <v>54</v>
      </c>
      <c r="C20" s="179">
        <f>DATE($K$2,5,1)</f>
        <v>42856</v>
      </c>
      <c r="D20"/>
      <c r="E20"/>
      <c r="F20"/>
      <c r="G20"/>
      <c r="H20"/>
      <c r="I20"/>
      <c r="J20"/>
      <c r="K20"/>
      <c r="L20" s="181"/>
      <c r="M20" s="181"/>
      <c r="N20" s="181"/>
      <c r="O20" s="181"/>
      <c r="P20" s="181"/>
      <c r="Q20"/>
      <c r="R20"/>
      <c r="S20"/>
      <c r="T20"/>
      <c r="U20"/>
      <c r="V20"/>
      <c r="W20"/>
      <c r="X20"/>
      <c r="Y20"/>
      <c r="Z20"/>
      <c r="AA20"/>
      <c r="AB20"/>
      <c r="AC20"/>
      <c r="AD20"/>
      <c r="AE20"/>
      <c r="AF20"/>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c r="HF20" s="3"/>
      <c r="HG20" s="3"/>
      <c r="HH20" s="3"/>
      <c r="HI20" s="3"/>
      <c r="HJ20" s="3"/>
      <c r="HK20" s="3"/>
      <c r="HL20" s="3"/>
      <c r="HM20" s="3"/>
      <c r="HN20" s="3"/>
      <c r="HO20" s="3"/>
      <c r="HP20" s="3"/>
      <c r="HQ20" s="3"/>
      <c r="HR20" s="3"/>
      <c r="HS20" s="3"/>
      <c r="HT20" s="3"/>
      <c r="HU20" s="3"/>
      <c r="HV20" s="3"/>
      <c r="HW20" s="3"/>
      <c r="HX20" s="3"/>
      <c r="HY20" s="3"/>
      <c r="HZ20" s="3"/>
      <c r="IA20" s="3"/>
      <c r="IB20" s="3"/>
      <c r="IC20" s="3"/>
      <c r="ID20" s="3"/>
      <c r="IE20" s="3"/>
      <c r="IF20" s="3"/>
      <c r="IG20" s="3"/>
      <c r="IH20" s="3"/>
      <c r="II20" s="3"/>
      <c r="IJ20" s="3"/>
      <c r="IK20" s="3"/>
      <c r="IL20" s="3"/>
      <c r="IM20" s="3"/>
      <c r="IN20" s="3"/>
      <c r="IO20" s="3"/>
      <c r="IP20" s="3"/>
      <c r="IQ20" s="3"/>
      <c r="IR20" s="3"/>
    </row>
    <row r="21" spans="1:252" s="96" customFormat="1" ht="20.25" customHeight="1">
      <c r="A21"/>
      <c r="B21" t="s">
        <v>55</v>
      </c>
      <c r="C21" s="179">
        <f>C18+39</f>
        <v>42880</v>
      </c>
      <c r="D21"/>
      <c r="E21"/>
      <c r="F21"/>
      <c r="G21"/>
      <c r="H21"/>
      <c r="I21"/>
      <c r="J21"/>
      <c r="K21"/>
      <c r="L21" s="181"/>
      <c r="M21" s="181"/>
      <c r="N21" s="181"/>
      <c r="O21" s="181"/>
      <c r="P21" s="181"/>
      <c r="Q21"/>
      <c r="R21"/>
      <c r="S21"/>
      <c r="T21"/>
      <c r="U21"/>
      <c r="V21"/>
      <c r="W21"/>
      <c r="X21"/>
      <c r="Y21"/>
      <c r="Z21"/>
      <c r="AA21"/>
      <c r="AB21"/>
      <c r="AC21"/>
      <c r="AD21"/>
      <c r="AE21"/>
      <c r="AF21"/>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c r="HF21" s="3"/>
      <c r="HG21" s="3"/>
      <c r="HH21" s="3"/>
      <c r="HI21" s="3"/>
      <c r="HJ21" s="3"/>
      <c r="HK21" s="3"/>
      <c r="HL21" s="3"/>
      <c r="HM21" s="3"/>
      <c r="HN21" s="3"/>
      <c r="HO21" s="3"/>
      <c r="HP21" s="3"/>
      <c r="HQ21" s="3"/>
      <c r="HR21" s="3"/>
      <c r="HS21" s="3"/>
      <c r="HT21" s="3"/>
      <c r="HU21" s="3"/>
      <c r="HV21" s="3"/>
      <c r="HW21" s="3"/>
      <c r="HX21" s="3"/>
      <c r="HY21" s="3"/>
      <c r="HZ21" s="3"/>
      <c r="IA21" s="3"/>
      <c r="IB21" s="3"/>
      <c r="IC21" s="3"/>
      <c r="ID21" s="3"/>
      <c r="IE21" s="3"/>
      <c r="IF21" s="3"/>
      <c r="IG21" s="3"/>
      <c r="IH21" s="3"/>
      <c r="II21" s="3"/>
      <c r="IJ21" s="3"/>
      <c r="IK21" s="3"/>
      <c r="IL21" s="3"/>
      <c r="IM21" s="3"/>
      <c r="IN21" s="3"/>
      <c r="IO21" s="3"/>
      <c r="IP21" s="3"/>
      <c r="IQ21" s="3"/>
      <c r="IR21" s="3"/>
    </row>
    <row r="22" spans="1:252" s="96" customFormat="1" ht="20.25" customHeight="1">
      <c r="A22"/>
      <c r="B22" t="s">
        <v>70</v>
      </c>
      <c r="C22" s="179">
        <f>C18+49</f>
        <v>42890</v>
      </c>
      <c r="D22"/>
      <c r="E22"/>
      <c r="F22"/>
      <c r="G22"/>
      <c r="H22"/>
      <c r="I22"/>
      <c r="J22"/>
      <c r="K22"/>
      <c r="L22" s="181"/>
      <c r="M22" s="181"/>
      <c r="N22" s="181"/>
      <c r="O22" s="181"/>
      <c r="P22" s="181"/>
      <c r="Q22"/>
      <c r="R22"/>
      <c r="S22"/>
      <c r="T22"/>
      <c r="U22"/>
      <c r="V22"/>
      <c r="W22"/>
      <c r="X22"/>
      <c r="Y22"/>
      <c r="Z22"/>
      <c r="AA22"/>
      <c r="AB22"/>
      <c r="AC22"/>
      <c r="AD22"/>
      <c r="AE22"/>
      <c r="AF22"/>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c r="HF22" s="3"/>
      <c r="HG22" s="3"/>
      <c r="HH22" s="3"/>
      <c r="HI22" s="3"/>
      <c r="HJ22" s="3"/>
      <c r="HK22" s="3"/>
      <c r="HL22" s="3"/>
      <c r="HM22" s="3"/>
      <c r="HN22" s="3"/>
      <c r="HO22" s="3"/>
      <c r="HP22" s="3"/>
      <c r="HQ22" s="3"/>
      <c r="HR22" s="3"/>
      <c r="HS22" s="3"/>
      <c r="HT22" s="3"/>
      <c r="HU22" s="3"/>
      <c r="HV22" s="3"/>
      <c r="HW22" s="3"/>
      <c r="HX22" s="3"/>
      <c r="HY22" s="3"/>
      <c r="HZ22" s="3"/>
      <c r="IA22" s="3"/>
      <c r="IB22" s="3"/>
      <c r="IC22" s="3"/>
      <c r="ID22" s="3"/>
      <c r="IE22" s="3"/>
      <c r="IF22" s="3"/>
      <c r="IG22" s="3"/>
      <c r="IH22" s="3"/>
      <c r="II22" s="3"/>
      <c r="IJ22" s="3"/>
      <c r="IK22" s="3"/>
      <c r="IL22" s="3"/>
      <c r="IM22" s="3"/>
      <c r="IN22" s="3"/>
      <c r="IO22" s="3"/>
      <c r="IP22" s="3"/>
      <c r="IQ22" s="3"/>
      <c r="IR22" s="3"/>
    </row>
    <row r="23" spans="1:252" s="96" customFormat="1" ht="20.25" customHeight="1">
      <c r="A23"/>
      <c r="B23" t="s">
        <v>56</v>
      </c>
      <c r="C23" s="179">
        <f>C22+1</f>
        <v>42891</v>
      </c>
      <c r="D23"/>
      <c r="E23"/>
      <c r="F23"/>
      <c r="G23"/>
      <c r="H23"/>
      <c r="I23"/>
      <c r="J23"/>
      <c r="K23"/>
      <c r="L23" s="181"/>
      <c r="M23" s="181"/>
      <c r="N23" s="181"/>
      <c r="O23" s="181"/>
      <c r="P23" s="181"/>
      <c r="Q23"/>
      <c r="R23"/>
      <c r="S23"/>
      <c r="T23"/>
      <c r="U23"/>
      <c r="V23"/>
      <c r="W23"/>
      <c r="X23"/>
      <c r="Y23"/>
      <c r="Z23"/>
      <c r="AA23"/>
      <c r="AB23"/>
      <c r="AC23"/>
      <c r="AD23"/>
      <c r="AE23"/>
      <c r="AF2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row>
    <row r="24" spans="1:252" s="96" customFormat="1" ht="20.25" customHeight="1">
      <c r="A24"/>
      <c r="B24" t="s">
        <v>57</v>
      </c>
      <c r="C24" s="179">
        <f>C18+60</f>
        <v>42901</v>
      </c>
      <c r="D24"/>
      <c r="E24"/>
      <c r="F24"/>
      <c r="G24"/>
      <c r="H24"/>
      <c r="I24"/>
      <c r="J24"/>
      <c r="K24"/>
      <c r="L24" s="181"/>
      <c r="M24" s="181"/>
      <c r="N24" s="181"/>
      <c r="O24" s="181"/>
      <c r="P24" s="181"/>
      <c r="Q24"/>
      <c r="R24"/>
      <c r="S24"/>
      <c r="T24"/>
      <c r="U24"/>
      <c r="V24"/>
      <c r="W24"/>
      <c r="X24"/>
      <c r="Y24"/>
      <c r="Z24"/>
      <c r="AA24"/>
      <c r="AB24"/>
      <c r="AC24"/>
      <c r="AD24"/>
      <c r="AE24"/>
      <c r="AF24"/>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row>
    <row r="25" spans="1:252" s="96" customFormat="1" ht="20.25" customHeight="1">
      <c r="A25"/>
      <c r="B25" t="s">
        <v>58</v>
      </c>
      <c r="C25" s="179">
        <f>DATE($K$2,10,3)</f>
        <v>43011</v>
      </c>
      <c r="D25"/>
      <c r="E25"/>
      <c r="F25"/>
      <c r="G25"/>
      <c r="H25"/>
      <c r="I25"/>
      <c r="J25"/>
      <c r="K25"/>
      <c r="L25" s="181"/>
      <c r="M25" s="181"/>
      <c r="N25" s="181"/>
      <c r="O25" s="181"/>
      <c r="P25" s="181"/>
      <c r="Q25"/>
      <c r="R25"/>
      <c r="S25"/>
      <c r="T25"/>
      <c r="U25"/>
      <c r="V25"/>
      <c r="W25"/>
      <c r="X25"/>
      <c r="Y25"/>
      <c r="Z25"/>
      <c r="AA25"/>
      <c r="AB25"/>
      <c r="AC25"/>
      <c r="AD25"/>
      <c r="AE25"/>
      <c r="AF25"/>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row>
    <row r="26" spans="1:252" s="96" customFormat="1" ht="20.25" customHeight="1">
      <c r="A26"/>
      <c r="B26" t="s">
        <v>59</v>
      </c>
      <c r="C26" s="179">
        <f>DATE($K$2,11,1)</f>
        <v>43040</v>
      </c>
      <c r="D26"/>
      <c r="E26"/>
      <c r="F26"/>
      <c r="G26"/>
      <c r="H26"/>
      <c r="I26"/>
      <c r="J26"/>
      <c r="K26"/>
      <c r="L26" s="181"/>
      <c r="M26" s="181"/>
      <c r="N26" s="181"/>
      <c r="O26" s="181"/>
      <c r="P26" s="181"/>
      <c r="Q26"/>
      <c r="R26"/>
      <c r="S26"/>
      <c r="T26"/>
      <c r="U26"/>
      <c r="V26"/>
      <c r="W26"/>
      <c r="X26"/>
      <c r="Y26"/>
      <c r="Z26"/>
      <c r="AA26"/>
      <c r="AB26"/>
      <c r="AC26"/>
      <c r="AD26"/>
      <c r="AE26"/>
      <c r="AF26"/>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row>
    <row r="27" spans="1:252" s="96" customFormat="1" ht="20.25" customHeight="1">
      <c r="A27"/>
      <c r="B27" t="s">
        <v>60</v>
      </c>
      <c r="C27" s="179">
        <f>DATE($K$2,12,24)</f>
        <v>43093</v>
      </c>
      <c r="D27"/>
      <c r="E27"/>
      <c r="F27"/>
      <c r="G27"/>
      <c r="H27"/>
      <c r="I27"/>
      <c r="J27"/>
      <c r="K27"/>
      <c r="L27" s="181"/>
      <c r="M27" s="181"/>
      <c r="N27" s="181"/>
      <c r="O27" s="181"/>
      <c r="P27" s="181"/>
      <c r="Q27"/>
      <c r="R27"/>
      <c r="S27"/>
      <c r="T27"/>
      <c r="U27"/>
      <c r="V27"/>
      <c r="W27"/>
      <c r="X27"/>
      <c r="Y27"/>
      <c r="Z27"/>
      <c r="AA27"/>
      <c r="AB27"/>
      <c r="AC27"/>
      <c r="AD27"/>
      <c r="AE27"/>
      <c r="AF27"/>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row>
    <row r="28" spans="1:252" s="96" customFormat="1" ht="20.25" customHeight="1">
      <c r="A28"/>
      <c r="B28" t="s">
        <v>61</v>
      </c>
      <c r="C28" s="179">
        <f>DATE($K$2,12,25)</f>
        <v>43094</v>
      </c>
      <c r="D28"/>
      <c r="E28"/>
      <c r="F28"/>
      <c r="G28"/>
      <c r="H28"/>
      <c r="I28"/>
      <c r="J28"/>
      <c r="K28"/>
      <c r="L28" s="181"/>
      <c r="M28" s="181"/>
      <c r="N28" s="181"/>
      <c r="O28" s="181"/>
      <c r="P28" s="181"/>
      <c r="Q28"/>
      <c r="R28"/>
      <c r="S28"/>
      <c r="T28"/>
      <c r="U28"/>
      <c r="V28"/>
      <c r="W28"/>
      <c r="X28"/>
      <c r="Y28"/>
      <c r="Z28"/>
      <c r="AA28"/>
      <c r="AB28"/>
      <c r="AC28"/>
      <c r="AD28"/>
      <c r="AE28"/>
      <c r="AF28"/>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row>
    <row r="29" spans="1:252" s="96" customFormat="1" ht="20.25" customHeight="1">
      <c r="A29"/>
      <c r="B29" t="s">
        <v>62</v>
      </c>
      <c r="C29" s="179">
        <f>DATE($K$2,12,26)</f>
        <v>43095</v>
      </c>
      <c r="D29"/>
      <c r="E29"/>
      <c r="F29"/>
      <c r="G29"/>
      <c r="H29"/>
      <c r="I29"/>
      <c r="J29"/>
      <c r="K29"/>
      <c r="L29" s="181"/>
      <c r="M29" s="181"/>
      <c r="N29" s="181"/>
      <c r="O29" s="181"/>
      <c r="P29" s="181"/>
      <c r="Q29"/>
      <c r="R29"/>
      <c r="S29"/>
      <c r="T29"/>
      <c r="U29"/>
      <c r="V29"/>
      <c r="W29"/>
      <c r="X29"/>
      <c r="Y29"/>
      <c r="Z29"/>
      <c r="AA29"/>
      <c r="AB29"/>
      <c r="AC29"/>
      <c r="AD29"/>
      <c r="AE29"/>
      <c r="AF29"/>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row>
    <row r="30" spans="1:252" s="96" customFormat="1" ht="20.25" customHeight="1">
      <c r="A30"/>
      <c r="B30" t="s">
        <v>63</v>
      </c>
      <c r="C30" s="179">
        <f>DATE($K$2,12,31)</f>
        <v>43100</v>
      </c>
      <c r="D30"/>
      <c r="E30"/>
      <c r="F30"/>
      <c r="G30"/>
      <c r="H30"/>
      <c r="I30"/>
      <c r="J30"/>
      <c r="K30"/>
      <c r="L30" s="181"/>
      <c r="M30" s="181"/>
      <c r="N30" s="181"/>
      <c r="O30" s="181"/>
      <c r="P30" s="181"/>
      <c r="Q30"/>
      <c r="R30"/>
      <c r="S30"/>
      <c r="T30"/>
      <c r="U30"/>
      <c r="V30"/>
      <c r="W30"/>
      <c r="X30"/>
      <c r="Y30"/>
      <c r="Z30"/>
      <c r="AA30"/>
      <c r="AB30"/>
      <c r="AC30"/>
      <c r="AD30"/>
      <c r="AE30"/>
      <c r="AF30"/>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row>
    <row r="31" spans="1:252" s="96" customFormat="1" ht="20.25" customHeight="1">
      <c r="A31"/>
      <c r="B31"/>
      <c r="C31"/>
      <c r="D31"/>
      <c r="E31"/>
      <c r="F31"/>
      <c r="G31"/>
      <c r="H31"/>
      <c r="I31"/>
      <c r="J31"/>
      <c r="K31"/>
      <c r="L31" s="181"/>
      <c r="M31" s="181"/>
      <c r="N31" s="181"/>
      <c r="O31" s="181"/>
      <c r="P31" s="181"/>
      <c r="Q31"/>
      <c r="R31"/>
      <c r="S31"/>
      <c r="T31"/>
      <c r="U31"/>
      <c r="V31"/>
      <c r="W31"/>
      <c r="X31"/>
      <c r="Y31"/>
      <c r="Z31"/>
      <c r="AA31"/>
      <c r="AB31"/>
      <c r="AC31"/>
      <c r="AD31"/>
      <c r="AE31"/>
      <c r="AF31"/>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row>
    <row r="32" spans="1:252" s="96" customFormat="1" ht="20.25" customHeight="1">
      <c r="A32"/>
      <c r="B32"/>
      <c r="C32"/>
      <c r="D32"/>
      <c r="E32"/>
      <c r="F32"/>
      <c r="G32"/>
      <c r="H32"/>
      <c r="I32"/>
      <c r="J32"/>
      <c r="K32"/>
      <c r="L32" s="181"/>
      <c r="M32" s="181"/>
      <c r="N32" s="181"/>
      <c r="O32" s="181"/>
      <c r="P32" s="181"/>
      <c r="Q32"/>
      <c r="R32"/>
      <c r="S32"/>
      <c r="T32"/>
      <c r="U32"/>
      <c r="V32"/>
      <c r="W32"/>
      <c r="X32"/>
      <c r="Y32"/>
      <c r="Z32"/>
      <c r="AA32"/>
      <c r="AB32"/>
      <c r="AC32"/>
      <c r="AD32"/>
      <c r="AE32"/>
      <c r="AF32"/>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row>
    <row r="33" spans="1:252" s="96" customFormat="1" ht="20.25" customHeight="1">
      <c r="A33"/>
      <c r="B33" s="209"/>
      <c r="C33"/>
      <c r="D33"/>
      <c r="E33"/>
      <c r="F33"/>
      <c r="G33"/>
      <c r="H33"/>
      <c r="I33"/>
      <c r="J33"/>
      <c r="K33"/>
      <c r="L33" s="181"/>
      <c r="M33" s="181"/>
      <c r="N33" s="181"/>
      <c r="O33" s="181"/>
      <c r="P33" s="181"/>
      <c r="Q33"/>
      <c r="R33"/>
      <c r="S33"/>
      <c r="T33"/>
      <c r="U33"/>
      <c r="V33"/>
      <c r="W33"/>
      <c r="X33"/>
      <c r="Y33"/>
      <c r="Z33"/>
      <c r="AA33"/>
      <c r="AB33"/>
      <c r="AC33"/>
      <c r="AD33"/>
      <c r="AE33"/>
      <c r="AF3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row>
    <row r="34" spans="1:252" s="96" customFormat="1" ht="20.25" customHeight="1">
      <c r="A34"/>
      <c r="B34" s="209" t="s">
        <v>77</v>
      </c>
      <c r="C34"/>
      <c r="D34"/>
      <c r="E34"/>
      <c r="F34"/>
      <c r="G34"/>
      <c r="H34"/>
      <c r="I34"/>
      <c r="J34"/>
      <c r="K34"/>
      <c r="L34" s="181"/>
      <c r="M34" s="181"/>
      <c r="N34" s="181"/>
      <c r="O34" s="181"/>
      <c r="P34" s="181"/>
      <c r="Q34"/>
      <c r="R34"/>
      <c r="S34"/>
      <c r="T34"/>
      <c r="U34"/>
      <c r="V34"/>
      <c r="W34"/>
      <c r="X34"/>
      <c r="Y34"/>
      <c r="Z34"/>
      <c r="AA34"/>
      <c r="AB34"/>
      <c r="AC34"/>
      <c r="AD34"/>
      <c r="AE34"/>
      <c r="AF34"/>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row>
    <row r="35" spans="1:252" s="96" customFormat="1" ht="20.25" customHeight="1">
      <c r="A35"/>
      <c r="B35"/>
      <c r="C35"/>
      <c r="D35"/>
      <c r="E35"/>
      <c r="F35"/>
      <c r="G35"/>
      <c r="H35"/>
      <c r="I35"/>
      <c r="J35"/>
      <c r="K35"/>
      <c r="L35" s="181"/>
      <c r="M35" s="181"/>
      <c r="N35" s="181"/>
      <c r="O35" s="181"/>
      <c r="P35" s="181"/>
      <c r="Q35"/>
      <c r="R35"/>
      <c r="S35"/>
      <c r="T35"/>
      <c r="U35"/>
      <c r="V35"/>
      <c r="W35"/>
      <c r="X35"/>
      <c r="Y35"/>
      <c r="Z35"/>
      <c r="AA35"/>
      <c r="AB35"/>
      <c r="AC35"/>
      <c r="AD35"/>
      <c r="AE35"/>
      <c r="AF35"/>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row>
    <row r="36" spans="1:252" s="96" customFormat="1" ht="20.25" customHeight="1">
      <c r="A36"/>
      <c r="B36"/>
      <c r="C36"/>
      <c r="D36"/>
      <c r="E36"/>
      <c r="F36"/>
      <c r="G36"/>
      <c r="H36"/>
      <c r="I36"/>
      <c r="J36"/>
      <c r="K36"/>
      <c r="L36" s="181"/>
      <c r="M36" s="181"/>
      <c r="N36" s="181"/>
      <c r="O36" s="181"/>
      <c r="P36" s="181"/>
      <c r="Q36"/>
      <c r="R36"/>
      <c r="S36"/>
      <c r="T36"/>
      <c r="U36"/>
      <c r="V36"/>
      <c r="W36"/>
      <c r="X36"/>
      <c r="Y36"/>
      <c r="Z36"/>
      <c r="AA36"/>
      <c r="AB36"/>
      <c r="AC36"/>
      <c r="AD36"/>
      <c r="AE36"/>
      <c r="AF36"/>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row>
    <row r="37" spans="1:252" s="96" customFormat="1" ht="20.25" customHeight="1">
      <c r="A37"/>
      <c r="B37"/>
      <c r="C37"/>
      <c r="D37"/>
      <c r="E37"/>
      <c r="F37"/>
      <c r="G37"/>
      <c r="H37"/>
      <c r="I37"/>
      <c r="J37"/>
      <c r="K37"/>
      <c r="L37" s="181"/>
      <c r="M37" s="181"/>
      <c r="N37" s="181"/>
      <c r="O37" s="181"/>
      <c r="P37" s="181"/>
      <c r="Q37"/>
      <c r="R37"/>
      <c r="S37"/>
      <c r="T37"/>
      <c r="U37"/>
      <c r="V37"/>
      <c r="W37"/>
      <c r="X37"/>
      <c r="Y37"/>
      <c r="Z37"/>
      <c r="AA37"/>
      <c r="AB37"/>
      <c r="AC37"/>
      <c r="AD37"/>
      <c r="AE37"/>
      <c r="AF37"/>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row>
    <row r="38" spans="1:252" s="96" customFormat="1" ht="20.25" customHeight="1">
      <c r="A38"/>
      <c r="B38"/>
      <c r="C38"/>
      <c r="D38"/>
      <c r="E38"/>
      <c r="F38"/>
      <c r="G38"/>
      <c r="H38"/>
      <c r="I38"/>
      <c r="J38"/>
      <c r="K38"/>
      <c r="L38" s="181"/>
      <c r="M38" s="181"/>
      <c r="N38" s="181"/>
      <c r="O38" s="181"/>
      <c r="P38" s="181"/>
      <c r="Q38"/>
      <c r="R38"/>
      <c r="S38"/>
      <c r="T38"/>
      <c r="U38"/>
      <c r="V38"/>
      <c r="W38"/>
      <c r="X38"/>
      <c r="Y38"/>
      <c r="Z38"/>
      <c r="AA38"/>
      <c r="AB38"/>
      <c r="AC38"/>
      <c r="AD38"/>
      <c r="AE38"/>
      <c r="AF38"/>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row>
    <row r="39" spans="1:252" s="96" customFormat="1" ht="20.25" customHeight="1">
      <c r="A39"/>
      <c r="B39"/>
      <c r="C39"/>
      <c r="D39"/>
      <c r="E39"/>
      <c r="F39"/>
      <c r="G39"/>
      <c r="H39"/>
      <c r="I39"/>
      <c r="J39"/>
      <c r="K39"/>
      <c r="L39" s="181"/>
      <c r="M39" s="181"/>
      <c r="N39" s="181"/>
      <c r="O39" s="181"/>
      <c r="P39" s="181"/>
      <c r="Q39"/>
      <c r="R39"/>
      <c r="S39"/>
      <c r="T39"/>
      <c r="U39"/>
      <c r="V39"/>
      <c r="W39"/>
      <c r="X39"/>
      <c r="Y39"/>
      <c r="Z39"/>
      <c r="AA39"/>
      <c r="AB39"/>
      <c r="AC39"/>
      <c r="AD39"/>
      <c r="AE39"/>
      <c r="AF39"/>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row>
    <row r="40" spans="1:252" s="96" customFormat="1" ht="20.25" customHeight="1">
      <c r="A40"/>
      <c r="B40"/>
      <c r="C40"/>
      <c r="D40"/>
      <c r="E40"/>
      <c r="F40"/>
      <c r="G40"/>
      <c r="H40"/>
      <c r="I40"/>
      <c r="J40"/>
      <c r="K40"/>
      <c r="L40" s="181"/>
      <c r="M40" s="181"/>
      <c r="N40" s="181"/>
      <c r="O40" s="181"/>
      <c r="P40" s="181"/>
      <c r="Q40"/>
      <c r="R40"/>
      <c r="S40"/>
      <c r="T40"/>
      <c r="U40"/>
      <c r="V40"/>
      <c r="W40"/>
      <c r="X40"/>
      <c r="Y40"/>
      <c r="Z40"/>
      <c r="AA40"/>
      <c r="AB40"/>
      <c r="AC40"/>
      <c r="AD40"/>
      <c r="AE40"/>
      <c r="AF40"/>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row>
    <row r="41" spans="1:252" s="96" customFormat="1" ht="20.25" customHeight="1">
      <c r="A41"/>
      <c r="B41"/>
      <c r="C41"/>
      <c r="D41"/>
      <c r="E41"/>
      <c r="F41"/>
      <c r="G41"/>
      <c r="H41"/>
      <c r="I41"/>
      <c r="J41"/>
      <c r="K41"/>
      <c r="L41" s="181"/>
      <c r="M41" s="181"/>
      <c r="N41" s="181"/>
      <c r="O41" s="181"/>
      <c r="P41" s="181"/>
      <c r="Q41"/>
      <c r="R41"/>
      <c r="S41"/>
      <c r="T41"/>
      <c r="U41"/>
      <c r="V41"/>
      <c r="W41"/>
      <c r="X41"/>
      <c r="Y41"/>
      <c r="Z41"/>
      <c r="AA41"/>
      <c r="AB41"/>
      <c r="AC41"/>
      <c r="AD41"/>
      <c r="AE41"/>
      <c r="AF41"/>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row>
    <row r="42" spans="1:252" s="96" customFormat="1" ht="20.25" customHeight="1">
      <c r="A42"/>
      <c r="B42"/>
      <c r="C42"/>
      <c r="D42"/>
      <c r="E42"/>
      <c r="F42"/>
      <c r="G42"/>
      <c r="H42"/>
      <c r="I42"/>
      <c r="J42"/>
      <c r="K42"/>
      <c r="L42" s="181"/>
      <c r="M42" s="181"/>
      <c r="N42" s="181"/>
      <c r="O42" s="181"/>
      <c r="P42" s="181"/>
      <c r="Q42"/>
      <c r="R42"/>
      <c r="S42"/>
      <c r="T42"/>
      <c r="U42"/>
      <c r="V42"/>
      <c r="W42"/>
      <c r="X42"/>
      <c r="Y42"/>
      <c r="Z42"/>
      <c r="AA42"/>
      <c r="AB42"/>
      <c r="AC42"/>
      <c r="AD42"/>
      <c r="AE42"/>
      <c r="AF42"/>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row>
    <row r="43" spans="1:252" s="96" customFormat="1" ht="20.25" customHeight="1">
      <c r="A43"/>
      <c r="B43"/>
      <c r="C43"/>
      <c r="D43"/>
      <c r="E43"/>
      <c r="F43"/>
      <c r="G43"/>
      <c r="H43"/>
      <c r="I43"/>
      <c r="J43"/>
      <c r="K43"/>
      <c r="L43" s="181"/>
      <c r="M43" s="181"/>
      <c r="N43" s="181"/>
      <c r="O43" s="181"/>
      <c r="P43" s="181"/>
      <c r="Q43"/>
      <c r="R43"/>
      <c r="S43"/>
      <c r="T43"/>
      <c r="U43"/>
      <c r="V43"/>
      <c r="W43"/>
      <c r="X43"/>
      <c r="Y43"/>
      <c r="Z43"/>
      <c r="AA43"/>
      <c r="AB43"/>
      <c r="AC43"/>
      <c r="AD43"/>
      <c r="AE43"/>
      <c r="AF4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row>
    <row r="44" spans="1:252" s="96" customFormat="1" ht="20.25" customHeight="1">
      <c r="A44"/>
      <c r="B44"/>
      <c r="C44"/>
      <c r="D44"/>
      <c r="E44"/>
      <c r="F44"/>
      <c r="G44"/>
      <c r="H44"/>
      <c r="I44"/>
      <c r="J44"/>
      <c r="K44"/>
      <c r="L44" s="181"/>
      <c r="M44" s="181"/>
      <c r="N44" s="181"/>
      <c r="O44" s="181"/>
      <c r="P44" s="181"/>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row>
    <row r="45" spans="1:252" s="96" customFormat="1" ht="20.25" customHeight="1">
      <c r="A45"/>
      <c r="B45"/>
      <c r="C45"/>
      <c r="D45"/>
      <c r="E45"/>
      <c r="F45"/>
      <c r="G45"/>
      <c r="H45"/>
      <c r="I45"/>
      <c r="J45"/>
      <c r="K45"/>
      <c r="L45" s="181"/>
      <c r="M45" s="181"/>
      <c r="N45" s="181"/>
      <c r="O45" s="181"/>
      <c r="P45" s="181"/>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row>
    <row r="46" spans="1:252" s="96" customFormat="1" ht="20.25" customHeight="1">
      <c r="A46"/>
      <c r="B46"/>
      <c r="C46"/>
      <c r="D46"/>
      <c r="E46"/>
      <c r="F46"/>
      <c r="G46"/>
      <c r="H46"/>
      <c r="I46"/>
      <c r="J46"/>
      <c r="K46"/>
      <c r="L46" s="181"/>
      <c r="M46" s="181"/>
      <c r="N46" s="181"/>
      <c r="O46" s="181"/>
      <c r="P46" s="181"/>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row>
    <row r="47" spans="1:252" s="96" customFormat="1" ht="20.25" customHeight="1">
      <c r="A47"/>
      <c r="B47"/>
      <c r="C47"/>
      <c r="D47"/>
      <c r="E47"/>
      <c r="F47"/>
      <c r="G47"/>
      <c r="H47"/>
      <c r="I47"/>
      <c r="J47"/>
      <c r="K47"/>
      <c r="L47" s="181"/>
      <c r="M47" s="181"/>
      <c r="N47" s="181"/>
      <c r="O47" s="181"/>
      <c r="P47" s="181"/>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row>
    <row r="48" spans="1:252" s="96" customFormat="1" ht="18.75" customHeight="1">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row>
    <row r="49" spans="1:252" s="96" customFormat="1" ht="18.75" customHeight="1">
      <c r="A49"/>
      <c r="B49"/>
      <c r="C49"/>
      <c r="D49"/>
      <c r="E49"/>
      <c r="F49"/>
      <c r="G49"/>
      <c r="H49"/>
      <c r="I49"/>
      <c r="J49"/>
      <c r="K49"/>
      <c r="L49" s="180"/>
      <c r="M49" s="180"/>
      <c r="N49" s="180"/>
      <c r="O49" s="180"/>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row>
    <row r="50" spans="1:252" s="96" customFormat="1">
      <c r="A50"/>
      <c r="B50"/>
      <c r="C50"/>
      <c r="D50"/>
      <c r="E50"/>
      <c r="F50"/>
      <c r="G50"/>
      <c r="H50"/>
      <c r="I50"/>
      <c r="J50"/>
      <c r="K50" s="181"/>
      <c r="L50" s="181"/>
      <c r="M50" s="181"/>
      <c r="N50" s="181"/>
      <c r="O50" s="181"/>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row>
    <row r="51" spans="1:252" s="96" customFormat="1">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row>
    <row r="52" spans="1:252" s="96" customFormat="1">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row>
    <row r="53" spans="1:252" s="96" customFormat="1">
      <c r="A53"/>
      <c r="B53"/>
      <c r="C53"/>
      <c r="D53"/>
      <c r="E53"/>
      <c r="F53"/>
      <c r="G53"/>
      <c r="H53"/>
      <c r="I53"/>
      <c r="J53"/>
      <c r="K53" s="181"/>
      <c r="L53" s="181"/>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row>
    <row r="54" spans="1:252" s="96" customFormat="1">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row>
    <row r="55" spans="1:252" s="96" customFormat="1">
      <c r="A55"/>
      <c r="B55"/>
      <c r="C55" s="181"/>
      <c r="D55" s="181"/>
      <c r="E55" s="181"/>
      <c r="F55" s="181"/>
      <c r="G55" s="181"/>
      <c r="H55"/>
      <c r="I55"/>
      <c r="J55"/>
      <c r="K55"/>
      <c r="L55" s="181"/>
      <c r="M55" s="181"/>
      <c r="N55" s="181"/>
      <c r="O55" s="181"/>
      <c r="P55" s="181"/>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row>
    <row r="56" spans="1:252" s="96" customFormat="1">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row>
    <row r="57" spans="1:252" s="96" customFormat="1">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row>
    <row r="58" spans="1:252" s="96" customFormat="1" hidden="1">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row>
    <row r="59" spans="1:252" s="96" customFormat="1" hidden="1">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row>
    <row r="60" spans="1:252" s="96" customFormat="1" hidden="1">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row>
    <row r="61" spans="1:252" s="96" customFormat="1" hidden="1">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row>
    <row r="62" spans="1:252" s="96" customFormat="1" hidden="1">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row>
    <row r="63" spans="1:252" s="96" customFormat="1" hidden="1">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row>
    <row r="64" spans="1:252" s="96" customFormat="1" hidden="1">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row>
    <row r="65" spans="1:252" s="96" customFormat="1" hidden="1">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row>
    <row r="66" spans="1:252" s="96" customFormat="1" hidden="1">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row>
    <row r="67" spans="1:252" s="96" customFormat="1" hidden="1">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row>
    <row r="68" spans="1:252" s="96" customFormat="1" hidden="1">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row>
    <row r="69" spans="1:252" s="96" customFormat="1" hidden="1">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row>
    <row r="70" spans="1:252" s="96" customFormat="1" hidden="1">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row>
    <row r="71" spans="1:252" s="96" customFormat="1" hidden="1">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row>
    <row r="72" spans="1:252" s="96" customFormat="1" hidden="1">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row>
    <row r="73" spans="1:252" s="96" customFormat="1" hidden="1">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c r="HR73" s="3"/>
      <c r="HS73" s="3"/>
      <c r="HT73" s="3"/>
      <c r="HU73" s="3"/>
      <c r="HV73" s="3"/>
      <c r="HW73" s="3"/>
      <c r="HX73" s="3"/>
      <c r="HY73" s="3"/>
      <c r="HZ73" s="3"/>
      <c r="IA73" s="3"/>
      <c r="IB73" s="3"/>
      <c r="IC73" s="3"/>
      <c r="ID73" s="3"/>
      <c r="IE73" s="3"/>
      <c r="IF73" s="3"/>
      <c r="IG73" s="3"/>
      <c r="IH73" s="3"/>
      <c r="II73" s="3"/>
      <c r="IJ73" s="3"/>
      <c r="IK73" s="3"/>
      <c r="IL73" s="3"/>
      <c r="IM73" s="3"/>
      <c r="IN73" s="3"/>
      <c r="IO73" s="3"/>
      <c r="IP73" s="3"/>
      <c r="IQ73" s="3"/>
      <c r="IR73" s="3"/>
    </row>
    <row r="74" spans="1:252" s="96" customFormat="1" hidden="1">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row>
    <row r="75" spans="1:252" s="96" customFormat="1" hidden="1">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row>
    <row r="76" spans="1:252"/>
    <row r="77" spans="1:252"/>
    <row r="78" spans="1:252"/>
    <row r="79" spans="1:252"/>
    <row r="80" spans="1:252"/>
    <row r="81"/>
    <row r="82"/>
  </sheetData>
  <sheetProtection password="EE1F" sheet="1" objects="1" scenarios="1" selectLockedCells="1"/>
  <protectedRanges>
    <protectedRange sqref="M7" name="Übertrag"/>
    <protectedRange sqref="M5" name="Einrichtung"/>
    <protectedRange sqref="E11" name="Projekt"/>
    <protectedRange sqref="E9" name="Arbeitszeit"/>
    <protectedRange sqref="E7" name="Beschäftigung"/>
    <protectedRange sqref="E5" name="Name"/>
  </protectedRanges>
  <mergeCells count="10">
    <mergeCell ref="E11:O11"/>
    <mergeCell ref="E9:H9"/>
    <mergeCell ref="M9:O9"/>
    <mergeCell ref="B2:H2"/>
    <mergeCell ref="I2:J2"/>
    <mergeCell ref="E5:H5"/>
    <mergeCell ref="M5:O5"/>
    <mergeCell ref="E7:H7"/>
    <mergeCell ref="M7:O7"/>
    <mergeCell ref="C10:J10"/>
  </mergeCells>
  <conditionalFormatting sqref="C16:P47">
    <cfRule type="expression" dxfId="2487" priority="193" stopIfTrue="1">
      <formula>OR(($A16="Samstag"),($A16="Sonntag"),($AA16=TRUE()))</formula>
    </cfRule>
  </conditionalFormatting>
  <conditionalFormatting sqref="B16:B47">
    <cfRule type="expression" dxfId="2486" priority="69" stopIfTrue="1">
      <formula>$AA16=TRUE()</formula>
    </cfRule>
    <cfRule type="expression" dxfId="2485" priority="73" stopIfTrue="1">
      <formula>OR(($A16="Samstag"),($A16="Sonntag"))</formula>
    </cfRule>
    <cfRule type="expression" dxfId="2484" priority="74" stopIfTrue="1">
      <formula>$Q16=TRUE()</formula>
    </cfRule>
  </conditionalFormatting>
  <conditionalFormatting sqref="F27:H27">
    <cfRule type="expression" dxfId="2483" priority="192" stopIfTrue="1">
      <formula>OR(($A27="Samstag"),($A27="Sonntag"))</formula>
    </cfRule>
  </conditionalFormatting>
  <conditionalFormatting sqref="F27:H27">
    <cfRule type="expression" dxfId="2482" priority="191" stopIfTrue="1">
      <formula>OR(($A27="Samstag"),($A27="Sonntag"))</formula>
    </cfRule>
  </conditionalFormatting>
  <conditionalFormatting sqref="F47:H47">
    <cfRule type="expression" dxfId="2481" priority="180" stopIfTrue="1">
      <formula>OR(($A47="Samstag"),($A47="Sonntag"))</formula>
    </cfRule>
  </conditionalFormatting>
  <conditionalFormatting sqref="F47:H47">
    <cfRule type="expression" dxfId="2480" priority="179" stopIfTrue="1">
      <formula>OR(($A47="Samstag"),($A47="Sonntag"))</formula>
    </cfRule>
  </conditionalFormatting>
  <conditionalFormatting sqref="F41:H41">
    <cfRule type="expression" dxfId="2479" priority="183" stopIfTrue="1">
      <formula>OR(($A41="Samstag"),($A41="Sonntag"))</formula>
    </cfRule>
  </conditionalFormatting>
  <conditionalFormatting sqref="F27:H27">
    <cfRule type="expression" dxfId="2478" priority="187" stopIfTrue="1">
      <formula>OR(($A27="Samstag"),($A27="Sonntag"))</formula>
    </cfRule>
  </conditionalFormatting>
  <conditionalFormatting sqref="F18:H19">
    <cfRule type="expression" dxfId="2477" priority="190" stopIfTrue="1">
      <formula>OR(($A18="Samstag"),($A18="Sonntag"))</formula>
    </cfRule>
  </conditionalFormatting>
  <conditionalFormatting sqref="F18:H18">
    <cfRule type="expression" dxfId="2476" priority="189" stopIfTrue="1">
      <formula>OR(($A18="Samstag"),($A18="Sonntag"))</formula>
    </cfRule>
  </conditionalFormatting>
  <conditionalFormatting sqref="F19:H19">
    <cfRule type="expression" dxfId="2475" priority="188" stopIfTrue="1">
      <formula>OR(($A19="Samstag"),($A19="Sonntag"))</formula>
    </cfRule>
  </conditionalFormatting>
  <conditionalFormatting sqref="F34:H34">
    <cfRule type="expression" dxfId="2474" priority="185" stopIfTrue="1">
      <formula>OR(($A34="Samstag"),($A34="Sonntag"))</formula>
    </cfRule>
  </conditionalFormatting>
  <conditionalFormatting sqref="F34:H34">
    <cfRule type="expression" dxfId="2473" priority="186" stopIfTrue="1">
      <formula>OR(($A34="Samstag"),($A34="Sonntag"))</formula>
    </cfRule>
  </conditionalFormatting>
  <conditionalFormatting sqref="F34:H34">
    <cfRule type="expression" dxfId="2472" priority="184" stopIfTrue="1">
      <formula>OR(($A34="Samstag"),($A34="Sonntag"))</formula>
    </cfRule>
  </conditionalFormatting>
  <conditionalFormatting sqref="F41:H41">
    <cfRule type="expression" dxfId="2471" priority="182" stopIfTrue="1">
      <formula>OR(($A41="Samstag"),($A41="Sonntag"))</formula>
    </cfRule>
  </conditionalFormatting>
  <conditionalFormatting sqref="F41:H41">
    <cfRule type="expression" dxfId="2470" priority="181" stopIfTrue="1">
      <formula>OR(($A41="Samstag"),($A41="Sonntag"))</formula>
    </cfRule>
  </conditionalFormatting>
  <conditionalFormatting sqref="F16:H16">
    <cfRule type="expression" dxfId="2469" priority="178" stopIfTrue="1">
      <formula>OR(($A16="Samstag"),($A16="Sonntag"))</formula>
    </cfRule>
  </conditionalFormatting>
  <conditionalFormatting sqref="F16:H16">
    <cfRule type="expression" dxfId="2468" priority="177" stopIfTrue="1">
      <formula>OR(($A16="Samstag"),($A16="Sonntag"))</formula>
    </cfRule>
  </conditionalFormatting>
  <conditionalFormatting sqref="G17">
    <cfRule type="expression" dxfId="2467" priority="176" stopIfTrue="1">
      <formula>OR(($A17="Samstag"),($A17="Sonntag"))</formula>
    </cfRule>
  </conditionalFormatting>
  <conditionalFormatting sqref="G17">
    <cfRule type="expression" dxfId="2466" priority="175" stopIfTrue="1">
      <formula>OR(($A17="Samstag"),($A17="Sonntag"))</formula>
    </cfRule>
  </conditionalFormatting>
  <conditionalFormatting sqref="F26:H26">
    <cfRule type="expression" dxfId="2465" priority="174" stopIfTrue="1">
      <formula>OR(($A26="Samstag"),($A26="Sonntag"))</formula>
    </cfRule>
  </conditionalFormatting>
  <conditionalFormatting sqref="F26:H26">
    <cfRule type="expression" dxfId="2464" priority="173" stopIfTrue="1">
      <formula>OR(($A26="Samstag"),($A26="Sonntag"))</formula>
    </cfRule>
  </conditionalFormatting>
  <conditionalFormatting sqref="F33:H33">
    <cfRule type="expression" dxfId="2463" priority="172" stopIfTrue="1">
      <formula>OR(($A33="Samstag"),($A33="Sonntag"))</formula>
    </cfRule>
  </conditionalFormatting>
  <conditionalFormatting sqref="F33:H33">
    <cfRule type="expression" dxfId="2462" priority="171" stopIfTrue="1">
      <formula>OR(($A33="Samstag"),($A33="Sonntag"))</formula>
    </cfRule>
  </conditionalFormatting>
  <conditionalFormatting sqref="F40:H40">
    <cfRule type="expression" dxfId="2461" priority="170" stopIfTrue="1">
      <formula>OR(($A40="Samstag"),($A40="Sonntag"))</formula>
    </cfRule>
  </conditionalFormatting>
  <conditionalFormatting sqref="F40:H40">
    <cfRule type="expression" dxfId="2460" priority="169" stopIfTrue="1">
      <formula>OR(($A40="Samstag"),($A40="Sonntag"))</formula>
    </cfRule>
  </conditionalFormatting>
  <conditionalFormatting sqref="G20:G25">
    <cfRule type="expression" dxfId="2459" priority="168" stopIfTrue="1">
      <formula>OR(($A20="Samstag"),($A20="Sonntag"))</formula>
    </cfRule>
  </conditionalFormatting>
  <conditionalFormatting sqref="G20:G25">
    <cfRule type="expression" dxfId="2458" priority="167" stopIfTrue="1">
      <formula>OR(($A20="Samstag"),($A20="Sonntag"))</formula>
    </cfRule>
  </conditionalFormatting>
  <conditionalFormatting sqref="G28:G32">
    <cfRule type="expression" dxfId="2457" priority="166" stopIfTrue="1">
      <formula>OR(($A28="Samstag"),($A28="Sonntag"))</formula>
    </cfRule>
  </conditionalFormatting>
  <conditionalFormatting sqref="G28:G32">
    <cfRule type="expression" dxfId="2456" priority="165" stopIfTrue="1">
      <formula>OR(($A28="Samstag"),($A28="Sonntag"))</formula>
    </cfRule>
  </conditionalFormatting>
  <conditionalFormatting sqref="G35:G39">
    <cfRule type="expression" dxfId="2455" priority="164" stopIfTrue="1">
      <formula>OR(($A35="Samstag"),($A35="Sonntag"))</formula>
    </cfRule>
  </conditionalFormatting>
  <conditionalFormatting sqref="G35:G39">
    <cfRule type="expression" dxfId="2454" priority="163" stopIfTrue="1">
      <formula>OR(($A35="Samstag"),($A35="Sonntag"))</formula>
    </cfRule>
  </conditionalFormatting>
  <conditionalFormatting sqref="G42:G46">
    <cfRule type="expression" dxfId="2453" priority="162" stopIfTrue="1">
      <formula>OR(($A42="Samstag"),($A42="Sonntag"))</formula>
    </cfRule>
  </conditionalFormatting>
  <conditionalFormatting sqref="G42:G46">
    <cfRule type="expression" dxfId="2452" priority="161" stopIfTrue="1">
      <formula>OR(($A42="Samstag"),($A42="Sonntag"))</formula>
    </cfRule>
  </conditionalFormatting>
  <conditionalFormatting sqref="F17">
    <cfRule type="expression" dxfId="2451" priority="160" stopIfTrue="1">
      <formula>OR(($A17="Samstag"),($A17="Sonntag"))</formula>
    </cfRule>
  </conditionalFormatting>
  <conditionalFormatting sqref="F17">
    <cfRule type="expression" dxfId="2450" priority="159" stopIfTrue="1">
      <formula>OR(($A17="Samstag"),($A17="Sonntag"))</formula>
    </cfRule>
  </conditionalFormatting>
  <conditionalFormatting sqref="F20:F25">
    <cfRule type="expression" dxfId="2449" priority="158" stopIfTrue="1">
      <formula>OR(($A20="Samstag"),($A20="Sonntag"))</formula>
    </cfRule>
  </conditionalFormatting>
  <conditionalFormatting sqref="F20:F25">
    <cfRule type="expression" dxfId="2448" priority="157" stopIfTrue="1">
      <formula>OR(($A20="Samstag"),($A20="Sonntag"))</formula>
    </cfRule>
  </conditionalFormatting>
  <conditionalFormatting sqref="F28:F32">
    <cfRule type="expression" dxfId="2447" priority="156" stopIfTrue="1">
      <formula>OR(($A28="Samstag"),($A28="Sonntag"))</formula>
    </cfRule>
  </conditionalFormatting>
  <conditionalFormatting sqref="F28:F32">
    <cfRule type="expression" dxfId="2446" priority="155" stopIfTrue="1">
      <formula>OR(($A28="Samstag"),($A28="Sonntag"))</formula>
    </cfRule>
  </conditionalFormatting>
  <conditionalFormatting sqref="F35:F39">
    <cfRule type="expression" dxfId="2445" priority="154" stopIfTrue="1">
      <formula>OR(($A35="Samstag"),($A35="Sonntag"))</formula>
    </cfRule>
  </conditionalFormatting>
  <conditionalFormatting sqref="F35:F39">
    <cfRule type="expression" dxfId="2444" priority="153" stopIfTrue="1">
      <formula>OR(($A35="Samstag"),($A35="Sonntag"))</formula>
    </cfRule>
  </conditionalFormatting>
  <conditionalFormatting sqref="H35:H39">
    <cfRule type="expression" dxfId="2443" priority="144" stopIfTrue="1">
      <formula>OR(($A35="Samstag"),($A35="Sonntag"))</formula>
    </cfRule>
  </conditionalFormatting>
  <conditionalFormatting sqref="H35:H39">
    <cfRule type="expression" dxfId="2442" priority="143" stopIfTrue="1">
      <formula>OR(($A35="Samstag"),($A35="Sonntag"))</formula>
    </cfRule>
  </conditionalFormatting>
  <conditionalFormatting sqref="F42:F46">
    <cfRule type="expression" dxfId="2441" priority="152" stopIfTrue="1">
      <formula>OR(($A42="Samstag"),($A42="Sonntag"))</formula>
    </cfRule>
  </conditionalFormatting>
  <conditionalFormatting sqref="F42:F46">
    <cfRule type="expression" dxfId="2440" priority="151" stopIfTrue="1">
      <formula>OR(($A42="Samstag"),($A42="Sonntag"))</formula>
    </cfRule>
  </conditionalFormatting>
  <conditionalFormatting sqref="H17">
    <cfRule type="expression" dxfId="2439" priority="150" stopIfTrue="1">
      <formula>OR(($A17="Samstag"),($A17="Sonntag"))</formula>
    </cfRule>
  </conditionalFormatting>
  <conditionalFormatting sqref="H17">
    <cfRule type="expression" dxfId="2438" priority="149" stopIfTrue="1">
      <formula>OR(($A17="Samstag"),($A17="Sonntag"))</formula>
    </cfRule>
  </conditionalFormatting>
  <conditionalFormatting sqref="H20:H25">
    <cfRule type="expression" dxfId="2437" priority="148" stopIfTrue="1">
      <formula>OR(($A20="Samstag"),($A20="Sonntag"))</formula>
    </cfRule>
  </conditionalFormatting>
  <conditionalFormatting sqref="H20:H25">
    <cfRule type="expression" dxfId="2436" priority="147" stopIfTrue="1">
      <formula>OR(($A20="Samstag"),($A20="Sonntag"))</formula>
    </cfRule>
  </conditionalFormatting>
  <conditionalFormatting sqref="H28:H32">
    <cfRule type="expression" dxfId="2435" priority="146" stopIfTrue="1">
      <formula>OR(($A28="Samstag"),($A28="Sonntag"))</formula>
    </cfRule>
  </conditionalFormatting>
  <conditionalFormatting sqref="H28:H32">
    <cfRule type="expression" dxfId="2434" priority="145" stopIfTrue="1">
      <formula>OR(($A28="Samstag"),($A28="Sonntag"))</formula>
    </cfRule>
  </conditionalFormatting>
  <conditionalFormatting sqref="H42:H46">
    <cfRule type="expression" dxfId="2433" priority="142" stopIfTrue="1">
      <formula>OR(($A42="Samstag"),($A42="Sonntag"))</formula>
    </cfRule>
  </conditionalFormatting>
  <conditionalFormatting sqref="H42:H46">
    <cfRule type="expression" dxfId="2432" priority="141" stopIfTrue="1">
      <formula>OR(($A42="Samstag"),($A42="Sonntag"))</formula>
    </cfRule>
  </conditionalFormatting>
  <conditionalFormatting sqref="J27">
    <cfRule type="expression" dxfId="2431" priority="140" stopIfTrue="1">
      <formula>OR(($A27="Samstag"),($A27="Sonntag"))</formula>
    </cfRule>
  </conditionalFormatting>
  <conditionalFormatting sqref="J27">
    <cfRule type="expression" dxfId="2430" priority="139" stopIfTrue="1">
      <formula>OR(($A27="Samstag"),($A27="Sonntag"))</formula>
    </cfRule>
  </conditionalFormatting>
  <conditionalFormatting sqref="J47">
    <cfRule type="expression" dxfId="2429" priority="128" stopIfTrue="1">
      <formula>OR(($A47="Samstag"),($A47="Sonntag"))</formula>
    </cfRule>
  </conditionalFormatting>
  <conditionalFormatting sqref="J47">
    <cfRule type="expression" dxfId="2428" priority="127" stopIfTrue="1">
      <formula>OR(($A47="Samstag"),($A47="Sonntag"))</formula>
    </cfRule>
  </conditionalFormatting>
  <conditionalFormatting sqref="J41">
    <cfRule type="expression" dxfId="2427" priority="131" stopIfTrue="1">
      <formula>OR(($A41="Samstag"),($A41="Sonntag"))</formula>
    </cfRule>
  </conditionalFormatting>
  <conditionalFormatting sqref="J27">
    <cfRule type="expression" dxfId="2426" priority="135" stopIfTrue="1">
      <formula>OR(($A27="Samstag"),($A27="Sonntag"))</formula>
    </cfRule>
  </conditionalFormatting>
  <conditionalFormatting sqref="J18:J19">
    <cfRule type="expression" dxfId="2425" priority="138" stopIfTrue="1">
      <formula>OR(($A18="Samstag"),($A18="Sonntag"))</formula>
    </cfRule>
  </conditionalFormatting>
  <conditionalFormatting sqref="J18">
    <cfRule type="expression" dxfId="2424" priority="137" stopIfTrue="1">
      <formula>OR(($A18="Samstag"),($A18="Sonntag"))</formula>
    </cfRule>
  </conditionalFormatting>
  <conditionalFormatting sqref="J19">
    <cfRule type="expression" dxfId="2423" priority="136" stopIfTrue="1">
      <formula>OR(($A19="Samstag"),($A19="Sonntag"))</formula>
    </cfRule>
  </conditionalFormatting>
  <conditionalFormatting sqref="J34">
    <cfRule type="expression" dxfId="2422" priority="133" stopIfTrue="1">
      <formula>OR(($A34="Samstag"),($A34="Sonntag"))</formula>
    </cfRule>
  </conditionalFormatting>
  <conditionalFormatting sqref="J34">
    <cfRule type="expression" dxfId="2421" priority="134" stopIfTrue="1">
      <formula>OR(($A34="Samstag"),($A34="Sonntag"))</formula>
    </cfRule>
  </conditionalFormatting>
  <conditionalFormatting sqref="J34">
    <cfRule type="expression" dxfId="2420" priority="132" stopIfTrue="1">
      <formula>OR(($A34="Samstag"),($A34="Sonntag"))</formula>
    </cfRule>
  </conditionalFormatting>
  <conditionalFormatting sqref="J41">
    <cfRule type="expression" dxfId="2419" priority="130" stopIfTrue="1">
      <formula>OR(($A41="Samstag"),($A41="Sonntag"))</formula>
    </cfRule>
  </conditionalFormatting>
  <conditionalFormatting sqref="J41">
    <cfRule type="expression" dxfId="2418" priority="129" stopIfTrue="1">
      <formula>OR(($A41="Samstag"),($A41="Sonntag"))</formula>
    </cfRule>
  </conditionalFormatting>
  <conditionalFormatting sqref="I16:J16">
    <cfRule type="expression" dxfId="2417" priority="126" stopIfTrue="1">
      <formula>OR(($A16="Samstag"),($A16="Sonntag"))</formula>
    </cfRule>
  </conditionalFormatting>
  <conditionalFormatting sqref="I16:J16">
    <cfRule type="expression" dxfId="2416" priority="125" stopIfTrue="1">
      <formula>OR(($A16="Samstag"),($A16="Sonntag"))</formula>
    </cfRule>
  </conditionalFormatting>
  <conditionalFormatting sqref="J26">
    <cfRule type="expression" dxfId="2415" priority="124" stopIfTrue="1">
      <formula>OR(($A26="Samstag"),($A26="Sonntag"))</formula>
    </cfRule>
  </conditionalFormatting>
  <conditionalFormatting sqref="J26">
    <cfRule type="expression" dxfId="2414" priority="123" stopIfTrue="1">
      <formula>OR(($A26="Samstag"),($A26="Sonntag"))</formula>
    </cfRule>
  </conditionalFormatting>
  <conditionalFormatting sqref="J33">
    <cfRule type="expression" dxfId="2413" priority="122" stopIfTrue="1">
      <formula>OR(($A33="Samstag"),($A33="Sonntag"))</formula>
    </cfRule>
  </conditionalFormatting>
  <conditionalFormatting sqref="J33">
    <cfRule type="expression" dxfId="2412" priority="121" stopIfTrue="1">
      <formula>OR(($A33="Samstag"),($A33="Sonntag"))</formula>
    </cfRule>
  </conditionalFormatting>
  <conditionalFormatting sqref="J40">
    <cfRule type="expression" dxfId="2411" priority="120" stopIfTrue="1">
      <formula>OR(($A40="Samstag"),($A40="Sonntag"))</formula>
    </cfRule>
  </conditionalFormatting>
  <conditionalFormatting sqref="J40">
    <cfRule type="expression" dxfId="2410" priority="119" stopIfTrue="1">
      <formula>OR(($A40="Samstag"),($A40="Sonntag"))</formula>
    </cfRule>
  </conditionalFormatting>
  <conditionalFormatting sqref="J35:J39">
    <cfRule type="expression" dxfId="2409" priority="112" stopIfTrue="1">
      <formula>OR(($A35="Samstag"),($A35="Sonntag"))</formula>
    </cfRule>
  </conditionalFormatting>
  <conditionalFormatting sqref="J35:J39">
    <cfRule type="expression" dxfId="2408" priority="111" stopIfTrue="1">
      <formula>OR(($A35="Samstag"),($A35="Sonntag"))</formula>
    </cfRule>
  </conditionalFormatting>
  <conditionalFormatting sqref="J17">
    <cfRule type="expression" dxfId="2407" priority="118" stopIfTrue="1">
      <formula>OR(($A17="Samstag"),($A17="Sonntag"))</formula>
    </cfRule>
  </conditionalFormatting>
  <conditionalFormatting sqref="J17">
    <cfRule type="expression" dxfId="2406" priority="117" stopIfTrue="1">
      <formula>OR(($A17="Samstag"),($A17="Sonntag"))</formula>
    </cfRule>
  </conditionalFormatting>
  <conditionalFormatting sqref="J20:J25">
    <cfRule type="expression" dxfId="2405" priority="116" stopIfTrue="1">
      <formula>OR(($A20="Samstag"),($A20="Sonntag"))</formula>
    </cfRule>
  </conditionalFormatting>
  <conditionalFormatting sqref="J20:J25">
    <cfRule type="expression" dxfId="2404" priority="115" stopIfTrue="1">
      <formula>OR(($A20="Samstag"),($A20="Sonntag"))</formula>
    </cfRule>
  </conditionalFormatting>
  <conditionalFormatting sqref="J28:J32">
    <cfRule type="expression" dxfId="2403" priority="114" stopIfTrue="1">
      <formula>OR(($A28="Samstag"),($A28="Sonntag"))</formula>
    </cfRule>
  </conditionalFormatting>
  <conditionalFormatting sqref="J28:J32">
    <cfRule type="expression" dxfId="2402" priority="113" stopIfTrue="1">
      <formula>OR(($A28="Samstag"),($A28="Sonntag"))</formula>
    </cfRule>
  </conditionalFormatting>
  <conditionalFormatting sqref="J42:J46">
    <cfRule type="expression" dxfId="2401" priority="110" stopIfTrue="1">
      <formula>OR(($A42="Samstag"),($A42="Sonntag"))</formula>
    </cfRule>
  </conditionalFormatting>
  <conditionalFormatting sqref="J42:J46">
    <cfRule type="expression" dxfId="2400" priority="109" stopIfTrue="1">
      <formula>OR(($A42="Samstag"),($A42="Sonntag"))</formula>
    </cfRule>
  </conditionalFormatting>
  <conditionalFormatting sqref="K27">
    <cfRule type="expression" dxfId="2399" priority="108" stopIfTrue="1">
      <formula>OR(($A27="Samstag"),($A27="Sonntag"))</formula>
    </cfRule>
  </conditionalFormatting>
  <conditionalFormatting sqref="K27">
    <cfRule type="expression" dxfId="2398" priority="107" stopIfTrue="1">
      <formula>OR(($A27="Samstag"),($A27="Sonntag"))</formula>
    </cfRule>
  </conditionalFormatting>
  <conditionalFormatting sqref="K47">
    <cfRule type="expression" dxfId="2397" priority="96" stopIfTrue="1">
      <formula>OR(($A47="Samstag"),($A47="Sonntag"))</formula>
    </cfRule>
  </conditionalFormatting>
  <conditionalFormatting sqref="K47">
    <cfRule type="expression" dxfId="2396" priority="95" stopIfTrue="1">
      <formula>OR(($A47="Samstag"),($A47="Sonntag"))</formula>
    </cfRule>
  </conditionalFormatting>
  <conditionalFormatting sqref="K41">
    <cfRule type="expression" dxfId="2395" priority="99" stopIfTrue="1">
      <formula>OR(($A41="Samstag"),($A41="Sonntag"))</formula>
    </cfRule>
  </conditionalFormatting>
  <conditionalFormatting sqref="K27">
    <cfRule type="expression" dxfId="2394" priority="103" stopIfTrue="1">
      <formula>OR(($A27="Samstag"),($A27="Sonntag"))</formula>
    </cfRule>
  </conditionalFormatting>
  <conditionalFormatting sqref="K18:K19">
    <cfRule type="expression" dxfId="2393" priority="106" stopIfTrue="1">
      <formula>OR(($A18="Samstag"),($A18="Sonntag"))</formula>
    </cfRule>
  </conditionalFormatting>
  <conditionalFormatting sqref="K18">
    <cfRule type="expression" dxfId="2392" priority="105" stopIfTrue="1">
      <formula>OR(($A18="Samstag"),($A18="Sonntag"))</formula>
    </cfRule>
  </conditionalFormatting>
  <conditionalFormatting sqref="K19">
    <cfRule type="expression" dxfId="2391" priority="104" stopIfTrue="1">
      <formula>OR(($A19="Samstag"),($A19="Sonntag"))</formula>
    </cfRule>
  </conditionalFormatting>
  <conditionalFormatting sqref="K34">
    <cfRule type="expression" dxfId="2390" priority="101" stopIfTrue="1">
      <formula>OR(($A34="Samstag"),($A34="Sonntag"))</formula>
    </cfRule>
  </conditionalFormatting>
  <conditionalFormatting sqref="K34">
    <cfRule type="expression" dxfId="2389" priority="102" stopIfTrue="1">
      <formula>OR(($A34="Samstag"),($A34="Sonntag"))</formula>
    </cfRule>
  </conditionalFormatting>
  <conditionalFormatting sqref="K34">
    <cfRule type="expression" dxfId="2388" priority="100" stopIfTrue="1">
      <formula>OR(($A34="Samstag"),($A34="Sonntag"))</formula>
    </cfRule>
  </conditionalFormatting>
  <conditionalFormatting sqref="K41">
    <cfRule type="expression" dxfId="2387" priority="98" stopIfTrue="1">
      <formula>OR(($A41="Samstag"),($A41="Sonntag"))</formula>
    </cfRule>
  </conditionalFormatting>
  <conditionalFormatting sqref="K41">
    <cfRule type="expression" dxfId="2386" priority="97" stopIfTrue="1">
      <formula>OR(($A41="Samstag"),($A41="Sonntag"))</formula>
    </cfRule>
  </conditionalFormatting>
  <conditionalFormatting sqref="K16">
    <cfRule type="expression" dxfId="2385" priority="94" stopIfTrue="1">
      <formula>OR(($A16="Samstag"),($A16="Sonntag"))</formula>
    </cfRule>
  </conditionalFormatting>
  <conditionalFormatting sqref="K16">
    <cfRule type="expression" dxfId="2384" priority="93" stopIfTrue="1">
      <formula>OR(($A16="Samstag"),($A16="Sonntag"))</formula>
    </cfRule>
  </conditionalFormatting>
  <conditionalFormatting sqref="K26">
    <cfRule type="expression" dxfId="2383" priority="92" stopIfTrue="1">
      <formula>OR(($A26="Samstag"),($A26="Sonntag"))</formula>
    </cfRule>
  </conditionalFormatting>
  <conditionalFormatting sqref="K26">
    <cfRule type="expression" dxfId="2382" priority="91" stopIfTrue="1">
      <formula>OR(($A26="Samstag"),($A26="Sonntag"))</formula>
    </cfRule>
  </conditionalFormatting>
  <conditionalFormatting sqref="K33">
    <cfRule type="expression" dxfId="2381" priority="90" stopIfTrue="1">
      <formula>OR(($A33="Samstag"),($A33="Sonntag"))</formula>
    </cfRule>
  </conditionalFormatting>
  <conditionalFormatting sqref="K33">
    <cfRule type="expression" dxfId="2380" priority="89" stopIfTrue="1">
      <formula>OR(($A33="Samstag"),($A33="Sonntag"))</formula>
    </cfRule>
  </conditionalFormatting>
  <conditionalFormatting sqref="K40">
    <cfRule type="expression" dxfId="2379" priority="88" stopIfTrue="1">
      <formula>OR(($A40="Samstag"),($A40="Sonntag"))</formula>
    </cfRule>
  </conditionalFormatting>
  <conditionalFormatting sqref="K40">
    <cfRule type="expression" dxfId="2378" priority="87" stopIfTrue="1">
      <formula>OR(($A40="Samstag"),($A40="Sonntag"))</formula>
    </cfRule>
  </conditionalFormatting>
  <conditionalFormatting sqref="K35:K39">
    <cfRule type="expression" dxfId="2377" priority="80" stopIfTrue="1">
      <formula>OR(($A35="Samstag"),($A35="Sonntag"))</formula>
    </cfRule>
  </conditionalFormatting>
  <conditionalFormatting sqref="K35:K39">
    <cfRule type="expression" dxfId="2376" priority="79" stopIfTrue="1">
      <formula>OR(($A35="Samstag"),($A35="Sonntag"))</formula>
    </cfRule>
  </conditionalFormatting>
  <conditionalFormatting sqref="K17">
    <cfRule type="expression" dxfId="2375" priority="86" stopIfTrue="1">
      <formula>OR(($A17="Samstag"),($A17="Sonntag"))</formula>
    </cfRule>
  </conditionalFormatting>
  <conditionalFormatting sqref="K17">
    <cfRule type="expression" dxfId="2374" priority="85" stopIfTrue="1">
      <formula>OR(($A17="Samstag"),($A17="Sonntag"))</formula>
    </cfRule>
  </conditionalFormatting>
  <conditionalFormatting sqref="K20:K25">
    <cfRule type="expression" dxfId="2373" priority="84" stopIfTrue="1">
      <formula>OR(($A20="Samstag"),($A20="Sonntag"))</formula>
    </cfRule>
  </conditionalFormatting>
  <conditionalFormatting sqref="K20:K25">
    <cfRule type="expression" dxfId="2372" priority="83" stopIfTrue="1">
      <formula>OR(($A20="Samstag"),($A20="Sonntag"))</formula>
    </cfRule>
  </conditionalFormatting>
  <conditionalFormatting sqref="K28:K32">
    <cfRule type="expression" dxfId="2371" priority="82" stopIfTrue="1">
      <formula>OR(($A28="Samstag"),($A28="Sonntag"))</formula>
    </cfRule>
  </conditionalFormatting>
  <conditionalFormatting sqref="K28:K32">
    <cfRule type="expression" dxfId="2370" priority="81" stopIfTrue="1">
      <formula>OR(($A28="Samstag"),($A28="Sonntag"))</formula>
    </cfRule>
  </conditionalFormatting>
  <conditionalFormatting sqref="K42:K46">
    <cfRule type="expression" dxfId="2369" priority="78" stopIfTrue="1">
      <formula>OR(($A42="Samstag"),($A42="Sonntag"))</formula>
    </cfRule>
  </conditionalFormatting>
  <conditionalFormatting sqref="K42:K46">
    <cfRule type="expression" dxfId="2368" priority="77" stopIfTrue="1">
      <formula>OR(($A42="Samstag"),($A42="Sonntag"))</formula>
    </cfRule>
  </conditionalFormatting>
  <conditionalFormatting sqref="I17:I47">
    <cfRule type="expression" dxfId="2367" priority="72" stopIfTrue="1">
      <formula>OR(($A17="Samstag"),($A17="Sonntag"))</formula>
    </cfRule>
  </conditionalFormatting>
  <conditionalFormatting sqref="I17:I47">
    <cfRule type="expression" dxfId="2366" priority="71" stopIfTrue="1">
      <formula>OR(($A17="Samstag"),($A17="Sonntag"))</formula>
    </cfRule>
  </conditionalFormatting>
  <conditionalFormatting sqref="K50:N50">
    <cfRule type="expression" dxfId="2365" priority="70" stopIfTrue="1">
      <formula>OR(($A50="Samstag"),($A50="Sonntag"))</formula>
    </cfRule>
  </conditionalFormatting>
  <conditionalFormatting sqref="G27">
    <cfRule type="expression" dxfId="2364" priority="68" stopIfTrue="1">
      <formula>OR(($A27="Samstag"),($A27="Sonntag"))</formula>
    </cfRule>
  </conditionalFormatting>
  <conditionalFormatting sqref="G27">
    <cfRule type="expression" dxfId="2363" priority="67" stopIfTrue="1">
      <formula>OR(($A27="Samstag"),($A27="Sonntag"))</formula>
    </cfRule>
  </conditionalFormatting>
  <conditionalFormatting sqref="G47">
    <cfRule type="expression" dxfId="2362" priority="56" stopIfTrue="1">
      <formula>OR(($A47="Samstag"),($A47="Sonntag"))</formula>
    </cfRule>
  </conditionalFormatting>
  <conditionalFormatting sqref="G47">
    <cfRule type="expression" dxfId="2361" priority="55" stopIfTrue="1">
      <formula>OR(($A47="Samstag"),($A47="Sonntag"))</formula>
    </cfRule>
  </conditionalFormatting>
  <conditionalFormatting sqref="G41">
    <cfRule type="expression" dxfId="2360" priority="59" stopIfTrue="1">
      <formula>OR(($A41="Samstag"),($A41="Sonntag"))</formula>
    </cfRule>
  </conditionalFormatting>
  <conditionalFormatting sqref="G27">
    <cfRule type="expression" dxfId="2359" priority="63" stopIfTrue="1">
      <formula>OR(($A27="Samstag"),($A27="Sonntag"))</formula>
    </cfRule>
  </conditionalFormatting>
  <conditionalFormatting sqref="G18:G19">
    <cfRule type="expression" dxfId="2358" priority="66" stopIfTrue="1">
      <formula>OR(($A18="Samstag"),($A18="Sonntag"))</formula>
    </cfRule>
  </conditionalFormatting>
  <conditionalFormatting sqref="G18">
    <cfRule type="expression" dxfId="2357" priority="65" stopIfTrue="1">
      <formula>OR(($A18="Samstag"),($A18="Sonntag"))</formula>
    </cfRule>
  </conditionalFormatting>
  <conditionalFormatting sqref="G19">
    <cfRule type="expression" dxfId="2356" priority="64" stopIfTrue="1">
      <formula>OR(($A19="Samstag"),($A19="Sonntag"))</formula>
    </cfRule>
  </conditionalFormatting>
  <conditionalFormatting sqref="G34">
    <cfRule type="expression" dxfId="2355" priority="61" stopIfTrue="1">
      <formula>OR(($A34="Samstag"),($A34="Sonntag"))</formula>
    </cfRule>
  </conditionalFormatting>
  <conditionalFormatting sqref="G34">
    <cfRule type="expression" dxfId="2354" priority="62" stopIfTrue="1">
      <formula>OR(($A34="Samstag"),($A34="Sonntag"))</formula>
    </cfRule>
  </conditionalFormatting>
  <conditionalFormatting sqref="G34">
    <cfRule type="expression" dxfId="2353" priority="60" stopIfTrue="1">
      <formula>OR(($A34="Samstag"),($A34="Sonntag"))</formula>
    </cfRule>
  </conditionalFormatting>
  <conditionalFormatting sqref="G41">
    <cfRule type="expression" dxfId="2352" priority="58" stopIfTrue="1">
      <formula>OR(($A41="Samstag"),($A41="Sonntag"))</formula>
    </cfRule>
  </conditionalFormatting>
  <conditionalFormatting sqref="G41">
    <cfRule type="expression" dxfId="2351" priority="57" stopIfTrue="1">
      <formula>OR(($A41="Samstag"),($A41="Sonntag"))</formula>
    </cfRule>
  </conditionalFormatting>
  <conditionalFormatting sqref="F16:G16">
    <cfRule type="expression" dxfId="2350" priority="54" stopIfTrue="1">
      <formula>OR(($A16="Samstag"),($A16="Sonntag"))</formula>
    </cfRule>
  </conditionalFormatting>
  <conditionalFormatting sqref="F16:G16">
    <cfRule type="expression" dxfId="2349" priority="53" stopIfTrue="1">
      <formula>OR(($A16="Samstag"),($A16="Sonntag"))</formula>
    </cfRule>
  </conditionalFormatting>
  <conditionalFormatting sqref="G26">
    <cfRule type="expression" dxfId="2348" priority="52" stopIfTrue="1">
      <formula>OR(($A26="Samstag"),($A26="Sonntag"))</formula>
    </cfRule>
  </conditionalFormatting>
  <conditionalFormatting sqref="G26">
    <cfRule type="expression" dxfId="2347" priority="51" stopIfTrue="1">
      <formula>OR(($A26="Samstag"),($A26="Sonntag"))</formula>
    </cfRule>
  </conditionalFormatting>
  <conditionalFormatting sqref="G33">
    <cfRule type="expression" dxfId="2346" priority="50" stopIfTrue="1">
      <formula>OR(($A33="Samstag"),($A33="Sonntag"))</formula>
    </cfRule>
  </conditionalFormatting>
  <conditionalFormatting sqref="G33">
    <cfRule type="expression" dxfId="2345" priority="49" stopIfTrue="1">
      <formula>OR(($A33="Samstag"),($A33="Sonntag"))</formula>
    </cfRule>
  </conditionalFormatting>
  <conditionalFormatting sqref="G40">
    <cfRule type="expression" dxfId="2344" priority="48" stopIfTrue="1">
      <formula>OR(($A40="Samstag"),($A40="Sonntag"))</formula>
    </cfRule>
  </conditionalFormatting>
  <conditionalFormatting sqref="G40">
    <cfRule type="expression" dxfId="2343" priority="47" stopIfTrue="1">
      <formula>OR(($A40="Samstag"),($A40="Sonntag"))</formula>
    </cfRule>
  </conditionalFormatting>
  <conditionalFormatting sqref="G35:G39">
    <cfRule type="expression" dxfId="2342" priority="40" stopIfTrue="1">
      <formula>OR(($A35="Samstag"),($A35="Sonntag"))</formula>
    </cfRule>
  </conditionalFormatting>
  <conditionalFormatting sqref="G35:G39">
    <cfRule type="expression" dxfId="2341" priority="39" stopIfTrue="1">
      <formula>OR(($A35="Samstag"),($A35="Sonntag"))</formula>
    </cfRule>
  </conditionalFormatting>
  <conditionalFormatting sqref="G17">
    <cfRule type="expression" dxfId="2340" priority="46" stopIfTrue="1">
      <formula>OR(($A17="Samstag"),($A17="Sonntag"))</formula>
    </cfRule>
  </conditionalFormatting>
  <conditionalFormatting sqref="G17">
    <cfRule type="expression" dxfId="2339" priority="45" stopIfTrue="1">
      <formula>OR(($A17="Samstag"),($A17="Sonntag"))</formula>
    </cfRule>
  </conditionalFormatting>
  <conditionalFormatting sqref="G20:G25">
    <cfRule type="expression" dxfId="2338" priority="44" stopIfTrue="1">
      <formula>OR(($A20="Samstag"),($A20="Sonntag"))</formula>
    </cfRule>
  </conditionalFormatting>
  <conditionalFormatting sqref="G20:G25">
    <cfRule type="expression" dxfId="2337" priority="43" stopIfTrue="1">
      <formula>OR(($A20="Samstag"),($A20="Sonntag"))</formula>
    </cfRule>
  </conditionalFormatting>
  <conditionalFormatting sqref="G28:G32">
    <cfRule type="expression" dxfId="2336" priority="42" stopIfTrue="1">
      <formula>OR(($A28="Samstag"),($A28="Sonntag"))</formula>
    </cfRule>
  </conditionalFormatting>
  <conditionalFormatting sqref="G28:G32">
    <cfRule type="expression" dxfId="2335" priority="41" stopIfTrue="1">
      <formula>OR(($A28="Samstag"),($A28="Sonntag"))</formula>
    </cfRule>
  </conditionalFormatting>
  <conditionalFormatting sqref="G42:G46">
    <cfRule type="expression" dxfId="2334" priority="38" stopIfTrue="1">
      <formula>OR(($A42="Samstag"),($A42="Sonntag"))</formula>
    </cfRule>
  </conditionalFormatting>
  <conditionalFormatting sqref="G42:G46">
    <cfRule type="expression" dxfId="2333" priority="37" stopIfTrue="1">
      <formula>OR(($A42="Samstag"),($A42="Sonntag"))</formula>
    </cfRule>
  </conditionalFormatting>
  <conditionalFormatting sqref="H27">
    <cfRule type="expression" dxfId="2332" priority="36" stopIfTrue="1">
      <formula>OR(($A27="Samstag"),($A27="Sonntag"))</formula>
    </cfRule>
  </conditionalFormatting>
  <conditionalFormatting sqref="H27">
    <cfRule type="expression" dxfId="2331" priority="35" stopIfTrue="1">
      <formula>OR(($A27="Samstag"),($A27="Sonntag"))</formula>
    </cfRule>
  </conditionalFormatting>
  <conditionalFormatting sqref="H47">
    <cfRule type="expression" dxfId="2330" priority="24" stopIfTrue="1">
      <formula>OR(($A47="Samstag"),($A47="Sonntag"))</formula>
    </cfRule>
  </conditionalFormatting>
  <conditionalFormatting sqref="H47">
    <cfRule type="expression" dxfId="2329" priority="23" stopIfTrue="1">
      <formula>OR(($A47="Samstag"),($A47="Sonntag"))</formula>
    </cfRule>
  </conditionalFormatting>
  <conditionalFormatting sqref="H41">
    <cfRule type="expression" dxfId="2328" priority="27" stopIfTrue="1">
      <formula>OR(($A41="Samstag"),($A41="Sonntag"))</formula>
    </cfRule>
  </conditionalFormatting>
  <conditionalFormatting sqref="H27">
    <cfRule type="expression" dxfId="2327" priority="31" stopIfTrue="1">
      <formula>OR(($A27="Samstag"),($A27="Sonntag"))</formula>
    </cfRule>
  </conditionalFormatting>
  <conditionalFormatting sqref="H18:H19">
    <cfRule type="expression" dxfId="2326" priority="34" stopIfTrue="1">
      <formula>OR(($A18="Samstag"),($A18="Sonntag"))</formula>
    </cfRule>
  </conditionalFormatting>
  <conditionalFormatting sqref="H18">
    <cfRule type="expression" dxfId="2325" priority="33" stopIfTrue="1">
      <formula>OR(($A18="Samstag"),($A18="Sonntag"))</formula>
    </cfRule>
  </conditionalFormatting>
  <conditionalFormatting sqref="H19">
    <cfRule type="expression" dxfId="2324" priority="32" stopIfTrue="1">
      <formula>OR(($A19="Samstag"),($A19="Sonntag"))</formula>
    </cfRule>
  </conditionalFormatting>
  <conditionalFormatting sqref="H34">
    <cfRule type="expression" dxfId="2323" priority="29" stopIfTrue="1">
      <formula>OR(($A34="Samstag"),($A34="Sonntag"))</formula>
    </cfRule>
  </conditionalFormatting>
  <conditionalFormatting sqref="H34">
    <cfRule type="expression" dxfId="2322" priority="30" stopIfTrue="1">
      <formula>OR(($A34="Samstag"),($A34="Sonntag"))</formula>
    </cfRule>
  </conditionalFormatting>
  <conditionalFormatting sqref="H34">
    <cfRule type="expression" dxfId="2321" priority="28" stopIfTrue="1">
      <formula>OR(($A34="Samstag"),($A34="Sonntag"))</formula>
    </cfRule>
  </conditionalFormatting>
  <conditionalFormatting sqref="H41">
    <cfRule type="expression" dxfId="2320" priority="26" stopIfTrue="1">
      <formula>OR(($A41="Samstag"),($A41="Sonntag"))</formula>
    </cfRule>
  </conditionalFormatting>
  <conditionalFormatting sqref="H41">
    <cfRule type="expression" dxfId="2319" priority="25" stopIfTrue="1">
      <formula>OR(($A41="Samstag"),($A41="Sonntag"))</formula>
    </cfRule>
  </conditionalFormatting>
  <conditionalFormatting sqref="H16">
    <cfRule type="expression" dxfId="2318" priority="22" stopIfTrue="1">
      <formula>OR(($A16="Samstag"),($A16="Sonntag"))</formula>
    </cfRule>
  </conditionalFormatting>
  <conditionalFormatting sqref="H16">
    <cfRule type="expression" dxfId="2317" priority="21" stopIfTrue="1">
      <formula>OR(($A16="Samstag"),($A16="Sonntag"))</formula>
    </cfRule>
  </conditionalFormatting>
  <conditionalFormatting sqref="H26">
    <cfRule type="expression" dxfId="2316" priority="20" stopIfTrue="1">
      <formula>OR(($A26="Samstag"),($A26="Sonntag"))</formula>
    </cfRule>
  </conditionalFormatting>
  <conditionalFormatting sqref="H26">
    <cfRule type="expression" dxfId="2315" priority="19" stopIfTrue="1">
      <formula>OR(($A26="Samstag"),($A26="Sonntag"))</formula>
    </cfRule>
  </conditionalFormatting>
  <conditionalFormatting sqref="H33">
    <cfRule type="expression" dxfId="2314" priority="18" stopIfTrue="1">
      <formula>OR(($A33="Samstag"),($A33="Sonntag"))</formula>
    </cfRule>
  </conditionalFormatting>
  <conditionalFormatting sqref="H33">
    <cfRule type="expression" dxfId="2313" priority="17" stopIfTrue="1">
      <formula>OR(($A33="Samstag"),($A33="Sonntag"))</formula>
    </cfRule>
  </conditionalFormatting>
  <conditionalFormatting sqref="H40">
    <cfRule type="expression" dxfId="2312" priority="16" stopIfTrue="1">
      <formula>OR(($A40="Samstag"),($A40="Sonntag"))</formula>
    </cfRule>
  </conditionalFormatting>
  <conditionalFormatting sqref="H40">
    <cfRule type="expression" dxfId="2311" priority="15" stopIfTrue="1">
      <formula>OR(($A40="Samstag"),($A40="Sonntag"))</formula>
    </cfRule>
  </conditionalFormatting>
  <conditionalFormatting sqref="H35:H39">
    <cfRule type="expression" dxfId="2310" priority="8" stopIfTrue="1">
      <formula>OR(($A35="Samstag"),($A35="Sonntag"))</formula>
    </cfRule>
  </conditionalFormatting>
  <conditionalFormatting sqref="H35:H39">
    <cfRule type="expression" dxfId="2309" priority="7" stopIfTrue="1">
      <formula>OR(($A35="Samstag"),($A35="Sonntag"))</formula>
    </cfRule>
  </conditionalFormatting>
  <conditionalFormatting sqref="H17">
    <cfRule type="expression" dxfId="2308" priority="14" stopIfTrue="1">
      <formula>OR(($A17="Samstag"),($A17="Sonntag"))</formula>
    </cfRule>
  </conditionalFormatting>
  <conditionalFormatting sqref="H17">
    <cfRule type="expression" dxfId="2307" priority="13" stopIfTrue="1">
      <formula>OR(($A17="Samstag"),($A17="Sonntag"))</formula>
    </cfRule>
  </conditionalFormatting>
  <conditionalFormatting sqref="H20:H25">
    <cfRule type="expression" dxfId="2306" priority="12" stopIfTrue="1">
      <formula>OR(($A20="Samstag"),($A20="Sonntag"))</formula>
    </cfRule>
  </conditionalFormatting>
  <conditionalFormatting sqref="H20:H25">
    <cfRule type="expression" dxfId="2305" priority="11" stopIfTrue="1">
      <formula>OR(($A20="Samstag"),($A20="Sonntag"))</formula>
    </cfRule>
  </conditionalFormatting>
  <conditionalFormatting sqref="H28:H32">
    <cfRule type="expression" dxfId="2304" priority="10" stopIfTrue="1">
      <formula>OR(($A28="Samstag"),($A28="Sonntag"))</formula>
    </cfRule>
  </conditionalFormatting>
  <conditionalFormatting sqref="H28:H32">
    <cfRule type="expression" dxfId="2303" priority="9" stopIfTrue="1">
      <formula>OR(($A28="Samstag"),($A28="Sonntag"))</formula>
    </cfRule>
  </conditionalFormatting>
  <conditionalFormatting sqref="H42:H46">
    <cfRule type="expression" dxfId="2302" priority="6" stopIfTrue="1">
      <formula>OR(($A42="Samstag"),($A42="Sonntag"))</formula>
    </cfRule>
  </conditionalFormatting>
  <conditionalFormatting sqref="H42:H46">
    <cfRule type="expression" dxfId="2301" priority="5" stopIfTrue="1">
      <formula>OR(($A42="Samstag"),($A42="Sonntag"))</formula>
    </cfRule>
  </conditionalFormatting>
  <conditionalFormatting sqref="F17:F47">
    <cfRule type="expression" dxfId="2300" priority="4" stopIfTrue="1">
      <formula>OR(($A17="Samstag"),($A17="Sonntag"))</formula>
    </cfRule>
  </conditionalFormatting>
  <conditionalFormatting sqref="F17:F47">
    <cfRule type="expression" dxfId="2299" priority="3" stopIfTrue="1">
      <formula>OR(($A17="Samstag"),($A17="Sonntag"))</formula>
    </cfRule>
  </conditionalFormatting>
  <conditionalFormatting sqref="I16">
    <cfRule type="expression" dxfId="2298" priority="2" stopIfTrue="1">
      <formula>OR(($A16="Samstag"),($A16="Sonntag"))</formula>
    </cfRule>
  </conditionalFormatting>
  <conditionalFormatting sqref="I16">
    <cfRule type="expression" dxfId="2297" priority="1" stopIfTrue="1">
      <formula>OR(($A16="Samstag"),($A16="Sonntag"))</formula>
    </cfRule>
  </conditionalFormatting>
  <dataValidations count="8">
    <dataValidation type="decimal" allowBlank="1" showInputMessage="1" showErrorMessage="1" errorTitle="Eingabefehler" error="Bitte geben Sie eine Dezimalzahl ein." sqref="M9:M10">
      <formula1>-1000</formula1>
      <formula2>1000</formula2>
    </dataValidation>
    <dataValidation showInputMessage="1" showErrorMessage="1" sqref="G8:I8"/>
    <dataValidation type="list" allowBlank="1" showInputMessage="1" showErrorMessage="1" sqref="C16:C47">
      <formula1>Vorgaben</formula1>
    </dataValidation>
    <dataValidation type="decimal" allowBlank="1" showInputMessage="1" showErrorMessage="1" errorTitle="Eingabefehler" error="Bitte geben Sie eine Uhrzeit im Dezimalformat ( hh,mm ) zwischen 0,00 und 23,59 ein." sqref="F16:H47">
      <formula1>0</formula1>
      <formula2>23.59</formula2>
    </dataValidation>
    <dataValidation type="decimal" allowBlank="1" showInputMessage="1" showErrorMessage="1" errorTitle="Eingabefehler" error="Bitte geben Sie eine positive Dezimalzahl ein." sqref="D16:D47">
      <formula1>0</formula1>
      <formula2>20</formula2>
    </dataValidation>
    <dataValidation type="decimal" allowBlank="1" showInputMessage="1" showErrorMessage="1" sqref="E9:H9">
      <formula1>0</formula1>
      <formula2>45</formula2>
    </dataValidation>
    <dataValidation type="decimal" allowBlank="1" showInputMessage="1" showErrorMessage="1" errorTitle="Eingabefehler" error="Bitte geben Sie eine Dezimalzahl ein." sqref="M7:O7">
      <formula1>-99999</formula1>
      <formula2>99999</formula2>
    </dataValidation>
    <dataValidation type="whole" allowBlank="1" showInputMessage="1" showErrorMessage="1" sqref="K2">
      <formula1>2000</formula1>
      <formula2>2100</formula2>
    </dataValidation>
  </dataValidations>
  <pageMargins left="0.7" right="0.7" top="0.78740157499999996" bottom="0.78740157499999996" header="0.3" footer="0.3"/>
  <pageSetup paperSize="9" scale="57"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4">
    <pageSetUpPr fitToPage="1"/>
  </sheetPr>
  <dimension ref="A1:IR80"/>
  <sheetViews>
    <sheetView showGridLines="0" showRowColHeaders="0" topLeftCell="A25" zoomScaleNormal="100" zoomScaleSheetLayoutView="55" workbookViewId="0">
      <selection activeCell="P35" sqref="P35"/>
    </sheetView>
  </sheetViews>
  <sheetFormatPr baseColWidth="10" defaultColWidth="6.25" defaultRowHeight="0" customHeight="1" zeroHeight="1"/>
  <cols>
    <col min="1" max="1" width="5" style="6" customWidth="1"/>
    <col min="2" max="2" width="11.25" style="57" customWidth="1"/>
    <col min="3" max="3" width="7.5" style="57" customWidth="1"/>
    <col min="4" max="8" width="7.75" style="57" customWidth="1"/>
    <col min="9" max="13" width="8.125" style="57" customWidth="1"/>
    <col min="14" max="14" width="7.5" style="57" customWidth="1"/>
    <col min="15" max="15" width="10" style="57" customWidth="1"/>
    <col min="16" max="16" width="7.5" style="24" customWidth="1"/>
    <col min="17" max="17" width="5" style="24" customWidth="1"/>
    <col min="18" max="18" width="10.125" style="6" customWidth="1"/>
    <col min="19" max="19" width="7.5" style="6" bestFit="1" customWidth="1"/>
    <col min="20" max="20" width="8.5" style="6" bestFit="1" customWidth="1"/>
    <col min="21" max="21" width="7.25" style="6" bestFit="1" customWidth="1"/>
    <col min="22" max="22" width="7.75" style="6" bestFit="1" customWidth="1"/>
    <col min="23" max="23" width="7.5" style="6" bestFit="1" customWidth="1"/>
    <col min="24" max="24" width="8.125" style="6" bestFit="1" customWidth="1"/>
    <col min="25" max="25" width="7.25" style="6" bestFit="1" customWidth="1"/>
    <col min="26" max="26" width="7.25" style="6" customWidth="1"/>
    <col min="27" max="27" width="10.5" style="68" customWidth="1"/>
    <col min="28" max="28" width="9.875" style="68" customWidth="1"/>
    <col min="29" max="29" width="11.125" style="6" customWidth="1"/>
    <col min="30" max="31" width="11.125" style="95" customWidth="1"/>
    <col min="32" max="34" width="6.25" style="96" customWidth="1"/>
    <col min="35" max="252" width="6.25" style="3" customWidth="1"/>
    <col min="253" max="16384" width="6.25" style="3"/>
  </cols>
  <sheetData>
    <row r="1" spans="1:34" ht="11.25" customHeight="1" thickBot="1">
      <c r="A1"/>
      <c r="B1"/>
      <c r="C1"/>
      <c r="D1"/>
      <c r="E1"/>
      <c r="F1"/>
      <c r="G1"/>
      <c r="H1"/>
      <c r="I1"/>
      <c r="J1"/>
      <c r="K1"/>
      <c r="L1"/>
      <c r="M1"/>
      <c r="N1"/>
      <c r="O1"/>
      <c r="P1"/>
      <c r="Q1"/>
      <c r="R1"/>
      <c r="S1" s="69"/>
      <c r="T1" s="69"/>
      <c r="U1" s="69"/>
      <c r="V1" s="3"/>
      <c r="W1" s="3"/>
      <c r="X1" s="3"/>
      <c r="Y1" s="3"/>
      <c r="Z1" s="3"/>
      <c r="AA1" s="3"/>
      <c r="AB1" s="3"/>
      <c r="AC1" s="3"/>
      <c r="AD1" s="3"/>
      <c r="AE1" s="3"/>
      <c r="AF1" s="3"/>
      <c r="AG1" s="3"/>
      <c r="AH1" s="3"/>
    </row>
    <row r="2" spans="1:34" ht="18.75" customHeight="1" thickTop="1">
      <c r="A2"/>
      <c r="B2" s="232" t="s">
        <v>78</v>
      </c>
      <c r="C2" s="233"/>
      <c r="D2" s="233"/>
      <c r="E2" s="233"/>
      <c r="F2" s="233"/>
      <c r="G2" s="233"/>
      <c r="H2" s="233"/>
      <c r="I2" s="233"/>
      <c r="J2" s="233"/>
      <c r="K2" s="233"/>
      <c r="L2" s="234"/>
      <c r="M2"/>
      <c r="N2"/>
      <c r="O2"/>
      <c r="P2"/>
      <c r="Q2"/>
      <c r="R2"/>
      <c r="S2" s="69"/>
      <c r="T2" s="69"/>
      <c r="U2" s="69"/>
      <c r="V2" s="3"/>
      <c r="W2" s="3"/>
      <c r="X2" s="3"/>
      <c r="Y2" s="3"/>
      <c r="Z2" s="3"/>
      <c r="AA2" s="3"/>
      <c r="AB2" s="3"/>
      <c r="AC2" s="3"/>
      <c r="AD2" s="3"/>
      <c r="AE2" s="3"/>
      <c r="AF2" s="3"/>
      <c r="AG2" s="3"/>
      <c r="AH2" s="3"/>
    </row>
    <row r="3" spans="1:34" ht="11.25" customHeight="1">
      <c r="A3"/>
      <c r="B3" s="235"/>
      <c r="C3" s="236"/>
      <c r="D3" s="236"/>
      <c r="E3" s="236"/>
      <c r="F3" s="236"/>
      <c r="G3" s="236"/>
      <c r="H3" s="236"/>
      <c r="I3" s="236"/>
      <c r="J3" s="236"/>
      <c r="K3" s="236"/>
      <c r="L3" s="237"/>
      <c r="M3"/>
      <c r="N3"/>
      <c r="O3"/>
      <c r="P3"/>
      <c r="Q3"/>
      <c r="R3"/>
      <c r="S3" s="69"/>
      <c r="T3" s="69"/>
      <c r="U3" s="69"/>
      <c r="V3" s="3"/>
      <c r="W3" s="3"/>
      <c r="X3" s="3"/>
      <c r="Y3" s="3"/>
      <c r="Z3" s="3"/>
      <c r="AA3" s="3"/>
      <c r="AB3" s="3"/>
      <c r="AC3" s="3"/>
      <c r="AD3" s="3"/>
      <c r="AE3" s="3"/>
      <c r="AF3" s="3"/>
      <c r="AG3" s="3"/>
      <c r="AH3" s="3"/>
    </row>
    <row r="4" spans="1:34" ht="15" customHeight="1">
      <c r="A4"/>
      <c r="B4" s="235"/>
      <c r="C4" s="236"/>
      <c r="D4" s="236"/>
      <c r="E4" s="236"/>
      <c r="F4" s="236"/>
      <c r="G4" s="236"/>
      <c r="H4" s="236"/>
      <c r="I4" s="236"/>
      <c r="J4" s="236"/>
      <c r="K4" s="236"/>
      <c r="L4" s="237"/>
      <c r="M4"/>
      <c r="N4"/>
      <c r="O4"/>
      <c r="P4"/>
      <c r="Q4"/>
      <c r="R4"/>
      <c r="S4" s="69"/>
      <c r="T4" s="69"/>
      <c r="U4" s="69"/>
      <c r="V4" s="3"/>
      <c r="W4" s="3"/>
      <c r="X4" s="3"/>
      <c r="Y4" s="3"/>
      <c r="Z4" s="3"/>
      <c r="AA4" s="3"/>
      <c r="AB4" s="3"/>
      <c r="AC4" s="3"/>
      <c r="AD4" s="3"/>
      <c r="AE4" s="3"/>
      <c r="AF4" s="3"/>
      <c r="AG4" s="3"/>
      <c r="AH4" s="3"/>
    </row>
    <row r="5" spans="1:34" ht="22.5" customHeight="1">
      <c r="A5"/>
      <c r="B5" s="235"/>
      <c r="C5" s="236"/>
      <c r="D5" s="236"/>
      <c r="E5" s="236"/>
      <c r="F5" s="236"/>
      <c r="G5" s="236"/>
      <c r="H5" s="236"/>
      <c r="I5" s="236"/>
      <c r="J5" s="236"/>
      <c r="K5" s="236"/>
      <c r="L5" s="237"/>
      <c r="M5" s="181"/>
      <c r="N5" s="181"/>
      <c r="O5" s="181"/>
      <c r="P5"/>
      <c r="Q5"/>
      <c r="R5"/>
      <c r="S5" s="68"/>
      <c r="T5" s="68"/>
      <c r="V5" s="3"/>
      <c r="W5" s="3"/>
      <c r="X5" s="3"/>
      <c r="Y5" s="3"/>
      <c r="Z5" s="3"/>
      <c r="AA5" s="3"/>
      <c r="AB5" s="3"/>
      <c r="AC5" s="3"/>
      <c r="AD5" s="3"/>
      <c r="AE5" s="3"/>
      <c r="AF5" s="3"/>
      <c r="AG5" s="3"/>
      <c r="AH5" s="3"/>
    </row>
    <row r="6" spans="1:34" ht="15">
      <c r="A6"/>
      <c r="B6" s="235"/>
      <c r="C6" s="236"/>
      <c r="D6" s="236"/>
      <c r="E6" s="236"/>
      <c r="F6" s="236"/>
      <c r="G6" s="236"/>
      <c r="H6" s="236"/>
      <c r="I6" s="236"/>
      <c r="J6" s="236"/>
      <c r="K6" s="236"/>
      <c r="L6" s="237"/>
      <c r="M6"/>
      <c r="N6"/>
      <c r="O6"/>
      <c r="P6"/>
      <c r="Q6"/>
      <c r="R6"/>
      <c r="V6" s="3"/>
      <c r="W6" s="3"/>
      <c r="X6" s="3"/>
      <c r="Y6" s="3"/>
      <c r="Z6" s="3"/>
      <c r="AA6" s="3"/>
      <c r="AB6" s="3"/>
      <c r="AC6" s="3"/>
      <c r="AD6" s="3"/>
      <c r="AE6" s="3"/>
      <c r="AF6" s="3"/>
      <c r="AG6" s="3"/>
      <c r="AH6" s="3"/>
    </row>
    <row r="7" spans="1:34" ht="22.5" customHeight="1">
      <c r="A7"/>
      <c r="B7" s="235"/>
      <c r="C7" s="236"/>
      <c r="D7" s="236"/>
      <c r="E7" s="236"/>
      <c r="F7" s="236"/>
      <c r="G7" s="236"/>
      <c r="H7" s="236"/>
      <c r="I7" s="236"/>
      <c r="J7" s="236"/>
      <c r="K7" s="236"/>
      <c r="L7" s="237"/>
      <c r="M7" s="181"/>
      <c r="N7" s="181"/>
      <c r="O7" s="181"/>
      <c r="P7"/>
      <c r="Q7"/>
      <c r="R7"/>
      <c r="V7" s="3"/>
      <c r="W7" s="3"/>
      <c r="X7" s="3"/>
      <c r="Y7" s="3"/>
      <c r="Z7" s="3"/>
      <c r="AA7" s="3"/>
      <c r="AB7" s="3"/>
      <c r="AC7" s="3"/>
      <c r="AD7" s="3"/>
      <c r="AE7" s="3"/>
      <c r="AF7" s="3"/>
      <c r="AG7" s="3"/>
      <c r="AH7" s="3"/>
    </row>
    <row r="8" spans="1:34" ht="22.5" customHeight="1">
      <c r="A8"/>
      <c r="B8" s="235"/>
      <c r="C8" s="236"/>
      <c r="D8" s="236"/>
      <c r="E8" s="236"/>
      <c r="F8" s="236"/>
      <c r="G8" s="236"/>
      <c r="H8" s="236"/>
      <c r="I8" s="236"/>
      <c r="J8" s="236"/>
      <c r="K8" s="236"/>
      <c r="L8" s="237"/>
      <c r="M8"/>
      <c r="N8"/>
      <c r="O8"/>
      <c r="P8"/>
      <c r="Q8"/>
      <c r="R8"/>
      <c r="V8" s="3"/>
      <c r="W8" s="3"/>
      <c r="X8" s="3"/>
      <c r="Y8" s="3"/>
      <c r="Z8" s="3"/>
      <c r="AA8" s="3"/>
      <c r="AB8" s="3"/>
      <c r="AC8" s="3"/>
      <c r="AD8" s="3"/>
      <c r="AE8" s="3"/>
      <c r="AF8" s="3"/>
      <c r="AG8" s="3"/>
      <c r="AH8" s="3"/>
    </row>
    <row r="9" spans="1:34" ht="22.5" customHeight="1">
      <c r="A9"/>
      <c r="B9" s="235"/>
      <c r="C9" s="236"/>
      <c r="D9" s="236"/>
      <c r="E9" s="236"/>
      <c r="F9" s="236"/>
      <c r="G9" s="236"/>
      <c r="H9" s="236"/>
      <c r="I9" s="236"/>
      <c r="J9" s="236"/>
      <c r="K9" s="236"/>
      <c r="L9" s="237"/>
      <c r="M9" s="181"/>
      <c r="N9" s="181"/>
      <c r="O9" s="181"/>
      <c r="P9"/>
      <c r="Q9"/>
      <c r="R9"/>
      <c r="V9" s="3"/>
      <c r="W9" s="3"/>
      <c r="X9" s="3"/>
      <c r="Y9" s="3"/>
      <c r="Z9" s="3"/>
      <c r="AA9" s="3"/>
      <c r="AB9" s="3"/>
      <c r="AC9" s="3"/>
      <c r="AD9" s="3"/>
      <c r="AE9" s="3"/>
      <c r="AF9" s="3"/>
      <c r="AG9" s="3"/>
      <c r="AH9" s="3"/>
    </row>
    <row r="10" spans="1:34" ht="15">
      <c r="A10"/>
      <c r="B10" s="235"/>
      <c r="C10" s="236"/>
      <c r="D10" s="236"/>
      <c r="E10" s="236"/>
      <c r="F10" s="236"/>
      <c r="G10" s="236"/>
      <c r="H10" s="236"/>
      <c r="I10" s="236"/>
      <c r="J10" s="236"/>
      <c r="K10" s="236"/>
      <c r="L10" s="237"/>
      <c r="M10"/>
      <c r="N10"/>
      <c r="O10"/>
      <c r="P10"/>
      <c r="Q10"/>
      <c r="R10"/>
      <c r="S10" s="68"/>
      <c r="T10" s="68"/>
      <c r="U10" s="68"/>
      <c r="V10" s="3"/>
      <c r="W10" s="3"/>
      <c r="X10" s="3"/>
      <c r="Y10" s="3"/>
      <c r="Z10" s="3"/>
      <c r="AA10" s="3"/>
      <c r="AB10" s="3"/>
      <c r="AC10" s="3"/>
      <c r="AD10" s="3"/>
      <c r="AE10" s="3"/>
      <c r="AF10" s="3"/>
      <c r="AG10" s="3"/>
      <c r="AH10" s="3"/>
    </row>
    <row r="11" spans="1:34" ht="15" customHeight="1">
      <c r="A11"/>
      <c r="B11" s="235"/>
      <c r="C11" s="236"/>
      <c r="D11" s="236"/>
      <c r="E11" s="236"/>
      <c r="F11" s="236"/>
      <c r="G11" s="236"/>
      <c r="H11" s="236"/>
      <c r="I11" s="236"/>
      <c r="J11" s="236"/>
      <c r="K11" s="236"/>
      <c r="L11" s="237"/>
      <c r="M11"/>
      <c r="N11"/>
      <c r="O11"/>
      <c r="P11"/>
      <c r="Q11"/>
      <c r="R11"/>
      <c r="V11" s="3"/>
      <c r="W11" s="3"/>
      <c r="X11" s="3"/>
      <c r="Y11" s="3"/>
      <c r="Z11" s="3"/>
      <c r="AA11" s="3"/>
      <c r="AB11" s="3"/>
      <c r="AC11" s="3"/>
      <c r="AD11" s="3"/>
      <c r="AE11" s="3"/>
      <c r="AF11" s="3"/>
      <c r="AG11" s="3"/>
      <c r="AH11" s="3"/>
    </row>
    <row r="12" spans="1:34" ht="22.5" customHeight="1">
      <c r="A12"/>
      <c r="B12" s="235"/>
      <c r="C12" s="236"/>
      <c r="D12" s="236"/>
      <c r="E12" s="236"/>
      <c r="F12" s="236"/>
      <c r="G12" s="236"/>
      <c r="H12" s="236"/>
      <c r="I12" s="236"/>
      <c r="J12" s="236"/>
      <c r="K12" s="236"/>
      <c r="L12" s="237"/>
      <c r="M12"/>
      <c r="N12"/>
      <c r="O12"/>
      <c r="P12"/>
      <c r="Q12"/>
      <c r="R12"/>
      <c r="V12" s="3"/>
      <c r="W12" s="3"/>
      <c r="X12" s="3"/>
      <c r="Y12" s="3"/>
      <c r="Z12" s="3"/>
      <c r="AA12" s="3"/>
      <c r="AB12" s="3"/>
      <c r="AC12" s="3"/>
      <c r="AD12" s="3"/>
      <c r="AE12" s="3"/>
      <c r="AF12" s="3"/>
      <c r="AG12" s="3"/>
      <c r="AH12" s="3"/>
    </row>
    <row r="13" spans="1:34" ht="22.5" customHeight="1">
      <c r="A13"/>
      <c r="B13" s="235"/>
      <c r="C13" s="236"/>
      <c r="D13" s="236"/>
      <c r="E13" s="236"/>
      <c r="F13" s="236"/>
      <c r="G13" s="236"/>
      <c r="H13" s="236"/>
      <c r="I13" s="236"/>
      <c r="J13" s="236"/>
      <c r="K13" s="236"/>
      <c r="L13" s="237"/>
      <c r="M13"/>
      <c r="N13"/>
      <c r="O13"/>
      <c r="P13"/>
      <c r="Q13"/>
      <c r="R13"/>
      <c r="V13" s="3"/>
      <c r="W13" s="3"/>
      <c r="X13" s="3"/>
      <c r="Y13" s="3"/>
      <c r="Z13" s="3"/>
      <c r="AA13" s="3"/>
      <c r="AB13" s="3"/>
      <c r="AC13" s="3"/>
      <c r="AD13" s="3"/>
      <c r="AE13" s="3"/>
      <c r="AF13" s="3"/>
      <c r="AG13" s="3"/>
      <c r="AH13" s="3"/>
    </row>
    <row r="14" spans="1:34" ht="18.75" customHeight="1">
      <c r="A14"/>
      <c r="B14" s="235"/>
      <c r="C14" s="236"/>
      <c r="D14" s="236"/>
      <c r="E14" s="236"/>
      <c r="F14" s="236"/>
      <c r="G14" s="236"/>
      <c r="H14" s="236"/>
      <c r="I14" s="236"/>
      <c r="J14" s="236"/>
      <c r="K14" s="236"/>
      <c r="L14" s="237"/>
      <c r="M14"/>
      <c r="N14"/>
      <c r="O14"/>
      <c r="P14"/>
      <c r="Q14"/>
      <c r="R14"/>
      <c r="V14" s="3"/>
      <c r="W14" s="3"/>
      <c r="X14" s="3"/>
      <c r="Y14" s="3"/>
      <c r="Z14" s="3"/>
      <c r="AA14" s="3"/>
      <c r="AB14" s="3"/>
      <c r="AC14" s="3"/>
      <c r="AD14" s="3"/>
      <c r="AE14" s="3"/>
      <c r="AF14" s="3"/>
      <c r="AG14" s="3"/>
      <c r="AH14" s="3"/>
    </row>
    <row r="15" spans="1:34" ht="15" customHeight="1">
      <c r="A15"/>
      <c r="B15" s="235"/>
      <c r="C15" s="236"/>
      <c r="D15" s="236"/>
      <c r="E15" s="236"/>
      <c r="F15" s="236"/>
      <c r="G15" s="236"/>
      <c r="H15" s="236"/>
      <c r="I15" s="236"/>
      <c r="J15" s="236"/>
      <c r="K15" s="236"/>
      <c r="L15" s="237"/>
      <c r="M15"/>
      <c r="N15"/>
      <c r="O15"/>
      <c r="P15"/>
      <c r="Q15"/>
      <c r="R15"/>
      <c r="V15" s="3"/>
      <c r="W15" s="3"/>
      <c r="X15" s="3"/>
      <c r="Y15" s="3"/>
      <c r="Z15" s="3"/>
      <c r="AA15" s="3"/>
      <c r="AB15" s="3"/>
      <c r="AC15" s="3"/>
      <c r="AD15" s="3"/>
      <c r="AE15" s="3"/>
      <c r="AF15" s="3"/>
      <c r="AG15" s="3"/>
      <c r="AH15" s="3"/>
    </row>
    <row r="16" spans="1:34" ht="23.25" customHeight="1" thickBot="1">
      <c r="A16"/>
      <c r="B16" s="238"/>
      <c r="C16" s="239"/>
      <c r="D16" s="239"/>
      <c r="E16" s="239"/>
      <c r="F16" s="239"/>
      <c r="G16" s="239"/>
      <c r="H16" s="239"/>
      <c r="I16" s="239"/>
      <c r="J16" s="239"/>
      <c r="K16" s="239"/>
      <c r="L16" s="240"/>
      <c r="M16"/>
      <c r="N16"/>
      <c r="O16"/>
      <c r="P16"/>
      <c r="Q16"/>
      <c r="R16"/>
      <c r="V16" s="3"/>
      <c r="W16" s="3"/>
      <c r="X16" s="3"/>
      <c r="Y16" s="3"/>
      <c r="Z16" s="3"/>
      <c r="AA16" s="3"/>
      <c r="AB16" s="3"/>
      <c r="AC16" s="3"/>
      <c r="AD16" s="3"/>
      <c r="AE16" s="3"/>
      <c r="AF16" s="3"/>
      <c r="AG16" s="3"/>
      <c r="AH16" s="3"/>
    </row>
    <row r="17" spans="1:252" ht="22.5" customHeight="1" thickTop="1" thickBot="1">
      <c r="A17"/>
      <c r="B17"/>
      <c r="C17"/>
      <c r="D17"/>
      <c r="E17" s="250"/>
      <c r="F17" s="250"/>
      <c r="G17"/>
      <c r="H17"/>
      <c r="I17"/>
      <c r="J17"/>
      <c r="K17"/>
      <c r="L17"/>
      <c r="M17"/>
      <c r="N17"/>
      <c r="O17"/>
      <c r="P17"/>
      <c r="Q17"/>
      <c r="R17"/>
      <c r="V17" s="3"/>
      <c r="W17" s="3"/>
      <c r="X17" s="3"/>
      <c r="Y17" s="3"/>
      <c r="Z17" s="3"/>
      <c r="AA17" s="3"/>
      <c r="AB17" s="3"/>
      <c r="AC17" s="3"/>
      <c r="AD17" s="3"/>
      <c r="AE17" s="3"/>
      <c r="AF17" s="3"/>
      <c r="AG17" s="3"/>
      <c r="AH17" s="3"/>
    </row>
    <row r="18" spans="1:252" ht="15.75" customHeight="1" thickTop="1">
      <c r="A18"/>
      <c r="B18" s="241" t="s">
        <v>85</v>
      </c>
      <c r="C18" s="242"/>
      <c r="D18" s="242"/>
      <c r="E18" s="242"/>
      <c r="F18" s="242"/>
      <c r="G18" s="242"/>
      <c r="H18" s="242"/>
      <c r="I18" s="242"/>
      <c r="J18" s="242"/>
      <c r="K18" s="242"/>
      <c r="L18" s="243"/>
      <c r="M18"/>
      <c r="N18"/>
      <c r="O18"/>
      <c r="P18"/>
      <c r="Q18"/>
      <c r="R18"/>
      <c r="V18" s="3"/>
      <c r="W18" s="3"/>
      <c r="X18" s="3"/>
      <c r="Y18" s="3"/>
      <c r="Z18" s="3"/>
      <c r="AA18" s="3"/>
      <c r="AB18" s="3"/>
      <c r="AC18" s="3"/>
      <c r="AD18" s="3"/>
      <c r="AE18" s="3"/>
      <c r="AF18" s="3"/>
      <c r="AG18" s="3"/>
      <c r="AH18" s="3"/>
    </row>
    <row r="19" spans="1:252" ht="15">
      <c r="A19"/>
      <c r="B19" s="244"/>
      <c r="C19" s="245"/>
      <c r="D19" s="245"/>
      <c r="E19" s="245"/>
      <c r="F19" s="245"/>
      <c r="G19" s="245"/>
      <c r="H19" s="245"/>
      <c r="I19" s="245"/>
      <c r="J19" s="245"/>
      <c r="K19" s="245"/>
      <c r="L19" s="246"/>
      <c r="M19"/>
      <c r="N19"/>
      <c r="O19"/>
      <c r="P19"/>
      <c r="Q19"/>
      <c r="R19"/>
      <c r="S19" s="68"/>
      <c r="T19" s="68"/>
      <c r="U19" s="68"/>
    </row>
    <row r="20" spans="1:252" s="4" customFormat="1" ht="18.75" customHeight="1">
      <c r="A20"/>
      <c r="B20" s="244"/>
      <c r="C20" s="245"/>
      <c r="D20" s="245"/>
      <c r="E20" s="245"/>
      <c r="F20" s="245"/>
      <c r="G20" s="245"/>
      <c r="H20" s="245"/>
      <c r="I20" s="245"/>
      <c r="J20" s="245"/>
      <c r="K20" s="245"/>
      <c r="L20" s="246"/>
      <c r="M20" s="181"/>
      <c r="N20" s="181"/>
      <c r="O20" s="181"/>
      <c r="P20" s="181"/>
      <c r="Q20"/>
      <c r="R20"/>
      <c r="S20" s="70" t="s">
        <v>22</v>
      </c>
      <c r="T20" s="70" t="s">
        <v>23</v>
      </c>
      <c r="U20" s="70" t="s">
        <v>23</v>
      </c>
      <c r="V20" s="71" t="s">
        <v>24</v>
      </c>
      <c r="W20" s="71" t="s">
        <v>22</v>
      </c>
      <c r="X20" s="71" t="s">
        <v>22</v>
      </c>
      <c r="Y20" s="71"/>
      <c r="Z20" s="71"/>
      <c r="AA20" s="70"/>
      <c r="AB20" s="70"/>
      <c r="AC20" s="71"/>
      <c r="AD20" s="97"/>
      <c r="AE20" s="97"/>
      <c r="AF20" s="98"/>
      <c r="AG20" s="98"/>
      <c r="AH20" s="98"/>
    </row>
    <row r="21" spans="1:252" ht="18.75" customHeight="1">
      <c r="A21"/>
      <c r="B21" s="244"/>
      <c r="C21" s="245"/>
      <c r="D21" s="245"/>
      <c r="E21" s="245"/>
      <c r="F21" s="245"/>
      <c r="G21" s="245"/>
      <c r="H21" s="245"/>
      <c r="I21" s="245"/>
      <c r="J21" s="245"/>
      <c r="K21" s="245"/>
      <c r="L21" s="246"/>
      <c r="M21" s="181"/>
      <c r="N21" s="181"/>
      <c r="O21" s="181"/>
      <c r="P21" s="181"/>
      <c r="Q21"/>
      <c r="R21"/>
      <c r="S21" s="72" t="s">
        <v>11</v>
      </c>
      <c r="T21" s="72" t="s">
        <v>1</v>
      </c>
      <c r="U21" s="72" t="s">
        <v>6</v>
      </c>
      <c r="V21" s="73" t="s">
        <v>2</v>
      </c>
      <c r="W21" s="73" t="s">
        <v>20</v>
      </c>
      <c r="X21" s="74" t="s">
        <v>21</v>
      </c>
      <c r="Y21" s="73" t="s">
        <v>19</v>
      </c>
      <c r="Z21" s="75"/>
    </row>
    <row r="22" spans="1:252" ht="20.25" customHeight="1">
      <c r="A22"/>
      <c r="B22" s="244"/>
      <c r="C22" s="245"/>
      <c r="D22" s="245"/>
      <c r="E22" s="245"/>
      <c r="F22" s="245"/>
      <c r="G22" s="245"/>
      <c r="H22" s="245"/>
      <c r="I22" s="245"/>
      <c r="J22" s="245"/>
      <c r="K22" s="245"/>
      <c r="L22" s="246"/>
      <c r="M22" s="181"/>
      <c r="N22" s="181"/>
      <c r="O22" s="181"/>
      <c r="P22" s="181"/>
      <c r="Q22"/>
      <c r="R22"/>
      <c r="S22" s="76"/>
      <c r="T22" s="76"/>
      <c r="U22" s="76"/>
      <c r="V22" s="76"/>
      <c r="W22" s="76"/>
      <c r="X22" s="76"/>
      <c r="Y22" s="76"/>
      <c r="Z22" s="76"/>
      <c r="AB22" s="166"/>
      <c r="AE22" s="99"/>
    </row>
    <row r="23" spans="1:252" s="96" customFormat="1" ht="20.25" customHeight="1">
      <c r="A23"/>
      <c r="B23" s="244"/>
      <c r="C23" s="245"/>
      <c r="D23" s="245"/>
      <c r="E23" s="245"/>
      <c r="F23" s="245"/>
      <c r="G23" s="245"/>
      <c r="H23" s="245"/>
      <c r="I23" s="245"/>
      <c r="J23" s="245"/>
      <c r="K23" s="245"/>
      <c r="L23" s="246"/>
      <c r="M23" s="181"/>
      <c r="N23" s="181"/>
      <c r="O23" s="181"/>
      <c r="P23" s="181"/>
      <c r="Q23"/>
      <c r="R23"/>
      <c r="S23" s="76"/>
      <c r="T23" s="76"/>
      <c r="U23" s="76"/>
      <c r="V23" s="76"/>
      <c r="W23" s="76"/>
      <c r="X23" s="76"/>
      <c r="Y23" s="76"/>
      <c r="Z23" s="76"/>
      <c r="AA23" s="68"/>
      <c r="AB23" s="166"/>
      <c r="AC23" s="6"/>
      <c r="AD23" s="95"/>
      <c r="AE23" s="99"/>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row>
    <row r="24" spans="1:252" s="96" customFormat="1" ht="20.25" customHeight="1">
      <c r="A24"/>
      <c r="B24" s="244"/>
      <c r="C24" s="245"/>
      <c r="D24" s="245"/>
      <c r="E24" s="245"/>
      <c r="F24" s="245"/>
      <c r="G24" s="245"/>
      <c r="H24" s="245"/>
      <c r="I24" s="245"/>
      <c r="J24" s="245"/>
      <c r="K24" s="245"/>
      <c r="L24" s="246"/>
      <c r="M24" s="181"/>
      <c r="N24" s="181"/>
      <c r="O24" s="181"/>
      <c r="P24" s="181"/>
      <c r="Q24"/>
      <c r="R24"/>
      <c r="S24" s="76"/>
      <c r="T24" s="76"/>
      <c r="U24" s="76"/>
      <c r="V24" s="76"/>
      <c r="W24" s="76"/>
      <c r="X24" s="76"/>
      <c r="Y24" s="76"/>
      <c r="Z24" s="76"/>
      <c r="AA24" s="68"/>
      <c r="AB24" s="166"/>
      <c r="AC24" s="6"/>
      <c r="AD24" s="95"/>
      <c r="AE24" s="99"/>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row>
    <row r="25" spans="1:252" s="96" customFormat="1" ht="20.25" customHeight="1">
      <c r="A25"/>
      <c r="B25" s="244"/>
      <c r="C25" s="245"/>
      <c r="D25" s="245"/>
      <c r="E25" s="245"/>
      <c r="F25" s="245"/>
      <c r="G25" s="245"/>
      <c r="H25" s="245"/>
      <c r="I25" s="245"/>
      <c r="J25" s="245"/>
      <c r="K25" s="245"/>
      <c r="L25" s="246"/>
      <c r="M25" s="181"/>
      <c r="N25" s="181"/>
      <c r="O25" s="181"/>
      <c r="P25" s="181"/>
      <c r="Q25"/>
      <c r="R25"/>
      <c r="S25" s="76"/>
      <c r="T25" s="76"/>
      <c r="U25" s="76"/>
      <c r="V25" s="76"/>
      <c r="W25" s="76"/>
      <c r="X25" s="76"/>
      <c r="Y25" s="76"/>
      <c r="Z25" s="76"/>
      <c r="AA25" s="68"/>
      <c r="AB25" s="166"/>
      <c r="AC25" s="6"/>
      <c r="AD25" s="95"/>
      <c r="AE25" s="99"/>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row>
    <row r="26" spans="1:252" s="96" customFormat="1" ht="20.25" customHeight="1">
      <c r="A26"/>
      <c r="B26" s="244"/>
      <c r="C26" s="245"/>
      <c r="D26" s="245"/>
      <c r="E26" s="245"/>
      <c r="F26" s="245"/>
      <c r="G26" s="245"/>
      <c r="H26" s="245"/>
      <c r="I26" s="245"/>
      <c r="J26" s="245"/>
      <c r="K26" s="245"/>
      <c r="L26" s="246"/>
      <c r="M26" s="181"/>
      <c r="N26" s="181"/>
      <c r="O26" s="181"/>
      <c r="P26" s="181"/>
      <c r="Q26"/>
      <c r="R26"/>
      <c r="S26" s="76"/>
      <c r="T26" s="76"/>
      <c r="U26" s="76"/>
      <c r="V26" s="76"/>
      <c r="W26" s="76"/>
      <c r="X26" s="76"/>
      <c r="Y26" s="76"/>
      <c r="Z26" s="76"/>
      <c r="AA26" s="68"/>
      <c r="AB26" s="166"/>
      <c r="AC26" s="6"/>
      <c r="AD26" s="95"/>
      <c r="AE26" s="99"/>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row>
    <row r="27" spans="1:252" s="96" customFormat="1" ht="20.25" customHeight="1">
      <c r="A27"/>
      <c r="B27" s="244"/>
      <c r="C27" s="245"/>
      <c r="D27" s="245"/>
      <c r="E27" s="245"/>
      <c r="F27" s="245"/>
      <c r="G27" s="245"/>
      <c r="H27" s="245"/>
      <c r="I27" s="245"/>
      <c r="J27" s="245"/>
      <c r="K27" s="245"/>
      <c r="L27" s="246"/>
      <c r="M27" s="181"/>
      <c r="N27" s="181"/>
      <c r="O27" s="181"/>
      <c r="P27" s="181"/>
      <c r="Q27"/>
      <c r="R27"/>
      <c r="S27" s="76"/>
      <c r="T27" s="76"/>
      <c r="U27" s="76"/>
      <c r="V27" s="76"/>
      <c r="W27" s="76"/>
      <c r="X27" s="76"/>
      <c r="Y27" s="76"/>
      <c r="Z27" s="76"/>
      <c r="AA27" s="68"/>
      <c r="AB27" s="166"/>
      <c r="AC27" s="6"/>
      <c r="AD27" s="95"/>
      <c r="AE27" s="99"/>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row>
    <row r="28" spans="1:252" s="96" customFormat="1" ht="20.25" customHeight="1">
      <c r="A28"/>
      <c r="B28" s="244"/>
      <c r="C28" s="245"/>
      <c r="D28" s="245"/>
      <c r="E28" s="245"/>
      <c r="F28" s="245"/>
      <c r="G28" s="245"/>
      <c r="H28" s="245"/>
      <c r="I28" s="245"/>
      <c r="J28" s="245"/>
      <c r="K28" s="245"/>
      <c r="L28" s="246"/>
      <c r="M28" s="181"/>
      <c r="N28" s="181"/>
      <c r="O28" s="181"/>
      <c r="P28" s="181"/>
      <c r="Q28"/>
      <c r="R28"/>
      <c r="S28" s="76"/>
      <c r="T28" s="76"/>
      <c r="U28" s="76"/>
      <c r="V28" s="76"/>
      <c r="W28" s="76"/>
      <c r="X28" s="76"/>
      <c r="Y28" s="76"/>
      <c r="Z28" s="76"/>
      <c r="AA28" s="68"/>
      <c r="AB28" s="166"/>
      <c r="AC28" s="6"/>
      <c r="AD28" s="95"/>
      <c r="AE28" s="99"/>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row>
    <row r="29" spans="1:252" s="96" customFormat="1" ht="20.25" customHeight="1">
      <c r="A29"/>
      <c r="B29" s="244"/>
      <c r="C29" s="245"/>
      <c r="D29" s="245"/>
      <c r="E29" s="245"/>
      <c r="F29" s="245"/>
      <c r="G29" s="245"/>
      <c r="H29" s="245"/>
      <c r="I29" s="245"/>
      <c r="J29" s="245"/>
      <c r="K29" s="245"/>
      <c r="L29" s="246"/>
      <c r="M29" s="181"/>
      <c r="N29" s="181"/>
      <c r="O29" s="181"/>
      <c r="P29" s="181"/>
      <c r="Q29"/>
      <c r="R29"/>
      <c r="S29" s="76"/>
      <c r="T29" s="76"/>
      <c r="U29" s="76"/>
      <c r="V29" s="76"/>
      <c r="W29" s="76"/>
      <c r="X29" s="76"/>
      <c r="Y29" s="76"/>
      <c r="Z29" s="76"/>
      <c r="AA29" s="68"/>
      <c r="AB29" s="166"/>
      <c r="AC29" s="6"/>
      <c r="AD29" s="95"/>
      <c r="AE29" s="99"/>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row>
    <row r="30" spans="1:252" s="96" customFormat="1" ht="20.25" customHeight="1">
      <c r="A30"/>
      <c r="B30" s="244"/>
      <c r="C30" s="245"/>
      <c r="D30" s="245"/>
      <c r="E30" s="245"/>
      <c r="F30" s="245"/>
      <c r="G30" s="245"/>
      <c r="H30" s="245"/>
      <c r="I30" s="245"/>
      <c r="J30" s="245"/>
      <c r="K30" s="245"/>
      <c r="L30" s="246"/>
      <c r="M30" s="181"/>
      <c r="N30" s="181"/>
      <c r="O30" s="181"/>
      <c r="P30" s="181"/>
      <c r="Q30"/>
      <c r="R30"/>
      <c r="S30" s="76"/>
      <c r="T30" s="76"/>
      <c r="U30" s="76"/>
      <c r="V30" s="76"/>
      <c r="W30" s="76"/>
      <c r="X30" s="76"/>
      <c r="Y30" s="76"/>
      <c r="Z30" s="76"/>
      <c r="AA30" s="68"/>
      <c r="AB30" s="166"/>
      <c r="AC30" s="6"/>
      <c r="AD30" s="95"/>
      <c r="AE30" s="99"/>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row>
    <row r="31" spans="1:252" s="96" customFormat="1" ht="20.25" customHeight="1">
      <c r="A31"/>
      <c r="B31" s="244"/>
      <c r="C31" s="245"/>
      <c r="D31" s="245"/>
      <c r="E31" s="245"/>
      <c r="F31" s="245"/>
      <c r="G31" s="245"/>
      <c r="H31" s="245"/>
      <c r="I31" s="245"/>
      <c r="J31" s="245"/>
      <c r="K31" s="245"/>
      <c r="L31" s="246"/>
      <c r="M31" s="181"/>
      <c r="N31" s="181"/>
      <c r="O31" s="181"/>
      <c r="P31" s="181"/>
      <c r="Q31"/>
      <c r="R31"/>
      <c r="S31" s="76"/>
      <c r="T31" s="76"/>
      <c r="U31" s="76"/>
      <c r="V31" s="76"/>
      <c r="W31" s="76"/>
      <c r="X31" s="76"/>
      <c r="Y31" s="76"/>
      <c r="Z31" s="76"/>
      <c r="AA31" s="68"/>
      <c r="AB31" s="166"/>
      <c r="AC31" s="6"/>
      <c r="AD31" s="95"/>
      <c r="AE31" s="99"/>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row>
    <row r="32" spans="1:252" s="96" customFormat="1" ht="20.25" customHeight="1">
      <c r="A32"/>
      <c r="B32" s="244"/>
      <c r="C32" s="245"/>
      <c r="D32" s="245"/>
      <c r="E32" s="245"/>
      <c r="F32" s="245"/>
      <c r="G32" s="245"/>
      <c r="H32" s="245"/>
      <c r="I32" s="245"/>
      <c r="J32" s="245"/>
      <c r="K32" s="245"/>
      <c r="L32" s="246"/>
      <c r="M32" s="181"/>
      <c r="N32" s="181"/>
      <c r="O32" s="181"/>
      <c r="P32" s="181"/>
      <c r="Q32"/>
      <c r="R32"/>
      <c r="S32" s="76"/>
      <c r="T32" s="76"/>
      <c r="U32" s="76"/>
      <c r="V32" s="76"/>
      <c r="W32" s="76"/>
      <c r="X32" s="76"/>
      <c r="Y32" s="76"/>
      <c r="Z32" s="76"/>
      <c r="AA32" s="68"/>
      <c r="AB32" s="166"/>
      <c r="AC32" s="6"/>
      <c r="AD32" s="95"/>
      <c r="AE32" s="99"/>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row>
    <row r="33" spans="1:252" s="96" customFormat="1" ht="20.25" customHeight="1">
      <c r="A33"/>
      <c r="B33" s="244"/>
      <c r="C33" s="245"/>
      <c r="D33" s="245"/>
      <c r="E33" s="245"/>
      <c r="F33" s="245"/>
      <c r="G33" s="245"/>
      <c r="H33" s="245"/>
      <c r="I33" s="245"/>
      <c r="J33" s="245"/>
      <c r="K33" s="245"/>
      <c r="L33" s="246"/>
      <c r="M33" s="181"/>
      <c r="N33" s="181"/>
      <c r="O33" s="181"/>
      <c r="P33" s="181"/>
      <c r="Q33"/>
      <c r="R33"/>
      <c r="S33" s="76"/>
      <c r="T33" s="76"/>
      <c r="U33" s="76"/>
      <c r="V33" s="76"/>
      <c r="W33" s="76"/>
      <c r="X33" s="76"/>
      <c r="Y33" s="76"/>
      <c r="Z33" s="76"/>
      <c r="AA33" s="68"/>
      <c r="AB33" s="166"/>
      <c r="AC33" s="6"/>
      <c r="AD33" s="95"/>
      <c r="AE33" s="99"/>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row>
    <row r="34" spans="1:252" s="96" customFormat="1" ht="20.25" customHeight="1">
      <c r="A34"/>
      <c r="B34" s="244"/>
      <c r="C34" s="245"/>
      <c r="D34" s="245"/>
      <c r="E34" s="245"/>
      <c r="F34" s="245"/>
      <c r="G34" s="245"/>
      <c r="H34" s="245"/>
      <c r="I34" s="245"/>
      <c r="J34" s="245"/>
      <c r="K34" s="245"/>
      <c r="L34" s="246"/>
      <c r="M34" s="181"/>
      <c r="N34" s="181"/>
      <c r="O34" s="181"/>
      <c r="P34" s="181"/>
      <c r="Q34"/>
      <c r="R34"/>
      <c r="S34" s="76"/>
      <c r="T34" s="76"/>
      <c r="U34" s="76"/>
      <c r="V34" s="76"/>
      <c r="W34" s="76"/>
      <c r="X34" s="76"/>
      <c r="Y34" s="76"/>
      <c r="Z34" s="76"/>
      <c r="AA34" s="68"/>
      <c r="AB34" s="166"/>
      <c r="AC34" s="6"/>
      <c r="AD34" s="95"/>
      <c r="AE34" s="99"/>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row>
    <row r="35" spans="1:252" s="96" customFormat="1" ht="20.25" customHeight="1">
      <c r="A35"/>
      <c r="B35" s="244"/>
      <c r="C35" s="245"/>
      <c r="D35" s="245"/>
      <c r="E35" s="245"/>
      <c r="F35" s="245"/>
      <c r="G35" s="245"/>
      <c r="H35" s="245"/>
      <c r="I35" s="245"/>
      <c r="J35" s="245"/>
      <c r="K35" s="245"/>
      <c r="L35" s="246"/>
      <c r="M35" s="181"/>
      <c r="N35" s="181"/>
      <c r="O35" s="181"/>
      <c r="P35" s="181"/>
      <c r="Q35"/>
      <c r="R35"/>
      <c r="S35" s="76"/>
      <c r="T35" s="76"/>
      <c r="U35" s="76"/>
      <c r="V35" s="76"/>
      <c r="W35" s="76"/>
      <c r="X35" s="76"/>
      <c r="Y35" s="76"/>
      <c r="Z35" s="76"/>
      <c r="AA35" s="68"/>
      <c r="AB35" s="166"/>
      <c r="AC35" s="6"/>
      <c r="AD35" s="95"/>
      <c r="AE35" s="99"/>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row>
    <row r="36" spans="1:252" s="96" customFormat="1" ht="20.25" customHeight="1">
      <c r="A36"/>
      <c r="B36" s="244"/>
      <c r="C36" s="245"/>
      <c r="D36" s="245"/>
      <c r="E36" s="245"/>
      <c r="F36" s="245"/>
      <c r="G36" s="245"/>
      <c r="H36" s="245"/>
      <c r="I36" s="245"/>
      <c r="J36" s="245"/>
      <c r="K36" s="245"/>
      <c r="L36" s="246"/>
      <c r="M36" s="181"/>
      <c r="N36" s="181"/>
      <c r="O36" s="181"/>
      <c r="P36" s="181"/>
      <c r="Q36"/>
      <c r="R36"/>
      <c r="S36" s="76"/>
      <c r="T36" s="76"/>
      <c r="U36" s="76"/>
      <c r="V36" s="76"/>
      <c r="W36" s="76"/>
      <c r="X36" s="76"/>
      <c r="Y36" s="76"/>
      <c r="Z36" s="76"/>
      <c r="AA36" s="68"/>
      <c r="AB36" s="166"/>
      <c r="AC36" s="6"/>
      <c r="AD36" s="95"/>
      <c r="AE36" s="99"/>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row>
    <row r="37" spans="1:252" s="96" customFormat="1" ht="20.25" customHeight="1">
      <c r="A37"/>
      <c r="B37" s="244"/>
      <c r="C37" s="245"/>
      <c r="D37" s="245"/>
      <c r="E37" s="245"/>
      <c r="F37" s="245"/>
      <c r="G37" s="245"/>
      <c r="H37" s="245"/>
      <c r="I37" s="245"/>
      <c r="J37" s="245"/>
      <c r="K37" s="245"/>
      <c r="L37" s="246"/>
      <c r="M37" s="181"/>
      <c r="N37" s="181"/>
      <c r="O37" s="181"/>
      <c r="P37" s="181"/>
      <c r="Q37"/>
      <c r="R37"/>
      <c r="S37" s="76"/>
      <c r="T37" s="76"/>
      <c r="U37" s="76"/>
      <c r="V37" s="76"/>
      <c r="W37" s="76"/>
      <c r="X37" s="76"/>
      <c r="Y37" s="76"/>
      <c r="Z37" s="76"/>
      <c r="AA37" s="68"/>
      <c r="AB37" s="166"/>
      <c r="AC37" s="6"/>
      <c r="AD37" s="95"/>
      <c r="AE37" s="99"/>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row>
    <row r="38" spans="1:252" s="96" customFormat="1" ht="20.25" customHeight="1">
      <c r="A38"/>
      <c r="B38" s="244"/>
      <c r="C38" s="245"/>
      <c r="D38" s="245"/>
      <c r="E38" s="245"/>
      <c r="F38" s="245"/>
      <c r="G38" s="245"/>
      <c r="H38" s="245"/>
      <c r="I38" s="245"/>
      <c r="J38" s="245"/>
      <c r="K38" s="245"/>
      <c r="L38" s="246"/>
      <c r="M38" s="181"/>
      <c r="N38" s="181"/>
      <c r="O38" s="181"/>
      <c r="P38" s="181"/>
      <c r="Q38"/>
      <c r="R38"/>
      <c r="S38" s="76"/>
      <c r="T38" s="76"/>
      <c r="U38" s="76"/>
      <c r="V38" s="76"/>
      <c r="W38" s="76"/>
      <c r="X38" s="76"/>
      <c r="Y38" s="76"/>
      <c r="Z38" s="76"/>
      <c r="AA38" s="68"/>
      <c r="AB38" s="166"/>
      <c r="AC38" s="6"/>
      <c r="AD38" s="95"/>
      <c r="AE38" s="99"/>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row>
    <row r="39" spans="1:252" s="96" customFormat="1" ht="20.25" customHeight="1">
      <c r="A39"/>
      <c r="B39" s="244"/>
      <c r="C39" s="245"/>
      <c r="D39" s="245"/>
      <c r="E39" s="245"/>
      <c r="F39" s="245"/>
      <c r="G39" s="245"/>
      <c r="H39" s="245"/>
      <c r="I39" s="245"/>
      <c r="J39" s="245"/>
      <c r="K39" s="245"/>
      <c r="L39" s="246"/>
      <c r="M39" s="181"/>
      <c r="N39" s="181"/>
      <c r="O39" s="181"/>
      <c r="P39" s="181"/>
      <c r="Q39"/>
      <c r="R39"/>
      <c r="S39" s="76"/>
      <c r="T39" s="76"/>
      <c r="U39" s="76"/>
      <c r="V39" s="76"/>
      <c r="W39" s="76"/>
      <c r="X39" s="76"/>
      <c r="Y39" s="76"/>
      <c r="Z39" s="76"/>
      <c r="AA39" s="68"/>
      <c r="AB39" s="166"/>
      <c r="AC39" s="6"/>
      <c r="AD39" s="95"/>
      <c r="AE39" s="99"/>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row>
    <row r="40" spans="1:252" s="96" customFormat="1" ht="20.25" customHeight="1">
      <c r="A40"/>
      <c r="B40" s="244"/>
      <c r="C40" s="245"/>
      <c r="D40" s="245"/>
      <c r="E40" s="245"/>
      <c r="F40" s="245"/>
      <c r="G40" s="245"/>
      <c r="H40" s="245"/>
      <c r="I40" s="245"/>
      <c r="J40" s="245"/>
      <c r="K40" s="245"/>
      <c r="L40" s="246"/>
      <c r="M40" s="181"/>
      <c r="N40" s="181"/>
      <c r="O40" s="181"/>
      <c r="P40" s="181"/>
      <c r="Q40"/>
      <c r="R40"/>
      <c r="S40" s="76"/>
      <c r="T40" s="76"/>
      <c r="U40" s="76"/>
      <c r="V40" s="76"/>
      <c r="W40" s="76"/>
      <c r="X40" s="76"/>
      <c r="Y40" s="76"/>
      <c r="Z40" s="76"/>
      <c r="AA40" s="68"/>
      <c r="AB40" s="166"/>
      <c r="AC40" s="6"/>
      <c r="AD40" s="95"/>
      <c r="AE40" s="99"/>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row>
    <row r="41" spans="1:252" s="96" customFormat="1" ht="20.25" customHeight="1">
      <c r="A41"/>
      <c r="B41" s="244"/>
      <c r="C41" s="245"/>
      <c r="D41" s="245"/>
      <c r="E41" s="245"/>
      <c r="F41" s="245"/>
      <c r="G41" s="245"/>
      <c r="H41" s="245"/>
      <c r="I41" s="245"/>
      <c r="J41" s="245"/>
      <c r="K41" s="245"/>
      <c r="L41" s="246"/>
      <c r="M41" s="181"/>
      <c r="N41" s="181"/>
      <c r="O41" s="181"/>
      <c r="P41" s="181"/>
      <c r="Q41"/>
      <c r="R41"/>
      <c r="S41" s="76"/>
      <c r="T41" s="76"/>
      <c r="U41" s="76"/>
      <c r="V41" s="76"/>
      <c r="W41" s="76"/>
      <c r="X41" s="76"/>
      <c r="Y41" s="76"/>
      <c r="Z41" s="76"/>
      <c r="AA41" s="68"/>
      <c r="AB41" s="166"/>
      <c r="AC41" s="6"/>
      <c r="AD41" s="95"/>
      <c r="AE41" s="99"/>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row>
    <row r="42" spans="1:252" s="96" customFormat="1" ht="20.25" customHeight="1">
      <c r="A42"/>
      <c r="B42" s="244"/>
      <c r="C42" s="245"/>
      <c r="D42" s="245"/>
      <c r="E42" s="245"/>
      <c r="F42" s="245"/>
      <c r="G42" s="245"/>
      <c r="H42" s="245"/>
      <c r="I42" s="245"/>
      <c r="J42" s="245"/>
      <c r="K42" s="245"/>
      <c r="L42" s="246"/>
      <c r="M42" s="181"/>
      <c r="N42" s="181"/>
      <c r="O42" s="181"/>
      <c r="P42" s="181"/>
      <c r="Q42"/>
      <c r="R42"/>
      <c r="S42" s="76"/>
      <c r="T42" s="76"/>
      <c r="U42" s="76"/>
      <c r="V42" s="76"/>
      <c r="W42" s="76"/>
      <c r="X42" s="76"/>
      <c r="Y42" s="76"/>
      <c r="Z42" s="76"/>
      <c r="AA42" s="68"/>
      <c r="AB42" s="166"/>
      <c r="AC42" s="6"/>
      <c r="AD42" s="95"/>
      <c r="AE42" s="99"/>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row>
    <row r="43" spans="1:252" s="96" customFormat="1" ht="20.25" customHeight="1">
      <c r="A43"/>
      <c r="B43" s="244"/>
      <c r="C43" s="245"/>
      <c r="D43" s="245"/>
      <c r="E43" s="245"/>
      <c r="F43" s="245"/>
      <c r="G43" s="245"/>
      <c r="H43" s="245"/>
      <c r="I43" s="245"/>
      <c r="J43" s="245"/>
      <c r="K43" s="245"/>
      <c r="L43" s="246"/>
      <c r="M43" s="181"/>
      <c r="N43" s="181"/>
      <c r="O43" s="181"/>
      <c r="P43" s="181"/>
      <c r="Q43"/>
      <c r="R43"/>
      <c r="S43" s="76"/>
      <c r="T43" s="76"/>
      <c r="U43" s="76"/>
      <c r="V43" s="76"/>
      <c r="W43" s="76"/>
      <c r="X43" s="76"/>
      <c r="Y43" s="76"/>
      <c r="Z43" s="76"/>
      <c r="AA43" s="68"/>
      <c r="AB43" s="166"/>
      <c r="AC43" s="6"/>
      <c r="AD43" s="95"/>
      <c r="AE43" s="99"/>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row>
    <row r="44" spans="1:252" s="96" customFormat="1" ht="20.25" customHeight="1">
      <c r="A44"/>
      <c r="B44" s="244"/>
      <c r="C44" s="245"/>
      <c r="D44" s="245"/>
      <c r="E44" s="245"/>
      <c r="F44" s="245"/>
      <c r="G44" s="245"/>
      <c r="H44" s="245"/>
      <c r="I44" s="245"/>
      <c r="J44" s="245"/>
      <c r="K44" s="245"/>
      <c r="L44" s="246"/>
      <c r="M44" s="181"/>
      <c r="N44" s="181"/>
      <c r="O44" s="181"/>
      <c r="P44" s="181"/>
      <c r="Q44"/>
      <c r="R44"/>
      <c r="S44" s="76"/>
      <c r="T44" s="76"/>
      <c r="U44" s="76"/>
      <c r="V44" s="76"/>
      <c r="W44" s="76"/>
      <c r="X44" s="76"/>
      <c r="Y44" s="76"/>
      <c r="Z44" s="76"/>
      <c r="AA44" s="68"/>
      <c r="AB44" s="166"/>
      <c r="AC44" s="6"/>
      <c r="AD44" s="95"/>
      <c r="AE44" s="99"/>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row>
    <row r="45" spans="1:252" s="96" customFormat="1" ht="20.25" customHeight="1">
      <c r="A45"/>
      <c r="B45" s="244"/>
      <c r="C45" s="245"/>
      <c r="D45" s="245"/>
      <c r="E45" s="245"/>
      <c r="F45" s="245"/>
      <c r="G45" s="245"/>
      <c r="H45" s="245"/>
      <c r="I45" s="245"/>
      <c r="J45" s="245"/>
      <c r="K45" s="245"/>
      <c r="L45" s="246"/>
      <c r="M45" s="181"/>
      <c r="N45" s="181"/>
      <c r="O45" s="181"/>
      <c r="P45" s="181"/>
      <c r="Q45"/>
      <c r="R45"/>
      <c r="S45" s="76"/>
      <c r="T45" s="76"/>
      <c r="U45" s="76"/>
      <c r="V45" s="76"/>
      <c r="W45" s="76"/>
      <c r="X45" s="76"/>
      <c r="Y45" s="76"/>
      <c r="Z45" s="76"/>
      <c r="AA45" s="68"/>
      <c r="AB45" s="166"/>
      <c r="AC45" s="6"/>
      <c r="AD45" s="95"/>
      <c r="AE45" s="99"/>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row>
    <row r="46" spans="1:252" s="96" customFormat="1" ht="20.25" customHeight="1">
      <c r="A46"/>
      <c r="B46" s="244"/>
      <c r="C46" s="245"/>
      <c r="D46" s="245"/>
      <c r="E46" s="245"/>
      <c r="F46" s="245"/>
      <c r="G46" s="245"/>
      <c r="H46" s="245"/>
      <c r="I46" s="245"/>
      <c r="J46" s="245"/>
      <c r="K46" s="245"/>
      <c r="L46" s="246"/>
      <c r="M46" s="181"/>
      <c r="N46" s="181"/>
      <c r="O46" s="181"/>
      <c r="P46" s="181"/>
      <c r="Q46"/>
      <c r="R46"/>
      <c r="S46" s="76"/>
      <c r="T46" s="76"/>
      <c r="U46" s="76"/>
      <c r="V46" s="76"/>
      <c r="W46" s="76"/>
      <c r="X46" s="76"/>
      <c r="Y46" s="76"/>
      <c r="Z46" s="76"/>
      <c r="AA46" s="68"/>
      <c r="AB46" s="166"/>
      <c r="AC46" s="6"/>
      <c r="AD46" s="95"/>
      <c r="AE46" s="99"/>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row>
    <row r="47" spans="1:252" s="96" customFormat="1" ht="20.25" customHeight="1">
      <c r="A47"/>
      <c r="B47" s="244"/>
      <c r="C47" s="245"/>
      <c r="D47" s="245"/>
      <c r="E47" s="245"/>
      <c r="F47" s="245"/>
      <c r="G47" s="245"/>
      <c r="H47" s="245"/>
      <c r="I47" s="245"/>
      <c r="J47" s="245"/>
      <c r="K47" s="245"/>
      <c r="L47" s="246"/>
      <c r="M47" s="181"/>
      <c r="N47" s="181"/>
      <c r="O47" s="181"/>
      <c r="P47" s="181"/>
      <c r="Q47"/>
      <c r="R47"/>
      <c r="S47" s="76"/>
      <c r="T47" s="76"/>
      <c r="U47" s="76"/>
      <c r="V47" s="76"/>
      <c r="W47" s="76"/>
      <c r="X47" s="76"/>
      <c r="Y47" s="76"/>
      <c r="Z47" s="76"/>
      <c r="AA47" s="68"/>
      <c r="AB47" s="166"/>
      <c r="AC47" s="6"/>
      <c r="AD47" s="95"/>
      <c r="AE47" s="99"/>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row>
    <row r="48" spans="1:252" s="96" customFormat="1" ht="20.25" customHeight="1">
      <c r="A48"/>
      <c r="B48" s="244"/>
      <c r="C48" s="245"/>
      <c r="D48" s="245"/>
      <c r="E48" s="245"/>
      <c r="F48" s="245"/>
      <c r="G48" s="245"/>
      <c r="H48" s="245"/>
      <c r="I48" s="245"/>
      <c r="J48" s="245"/>
      <c r="K48" s="245"/>
      <c r="L48" s="246"/>
      <c r="M48" s="181"/>
      <c r="N48" s="181"/>
      <c r="O48" s="181"/>
      <c r="P48" s="181"/>
      <c r="Q48"/>
      <c r="R48"/>
      <c r="S48" s="76"/>
      <c r="T48" s="76"/>
      <c r="U48" s="76"/>
      <c r="V48" s="76"/>
      <c r="W48" s="76"/>
      <c r="X48" s="76"/>
      <c r="Y48" s="76"/>
      <c r="Z48" s="76"/>
      <c r="AA48" s="68"/>
      <c r="AB48" s="166"/>
      <c r="AC48" s="6"/>
      <c r="AD48" s="95"/>
      <c r="AE48" s="99"/>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row>
    <row r="49" spans="1:252" s="96" customFormat="1" ht="20.25" customHeight="1">
      <c r="A49"/>
      <c r="B49" s="244"/>
      <c r="C49" s="245"/>
      <c r="D49" s="245"/>
      <c r="E49" s="245"/>
      <c r="F49" s="245"/>
      <c r="G49" s="245"/>
      <c r="H49" s="245"/>
      <c r="I49" s="245"/>
      <c r="J49" s="245"/>
      <c r="K49" s="245"/>
      <c r="L49" s="246"/>
      <c r="M49" s="181"/>
      <c r="N49" s="181"/>
      <c r="O49" s="181"/>
      <c r="P49" s="181"/>
      <c r="Q49"/>
      <c r="R49"/>
      <c r="S49" s="76"/>
      <c r="T49" s="76"/>
      <c r="U49" s="76"/>
      <c r="V49" s="76"/>
      <c r="W49" s="76"/>
      <c r="X49" s="76"/>
      <c r="Y49" s="76"/>
      <c r="Z49" s="76"/>
      <c r="AA49" s="68"/>
      <c r="AB49" s="166"/>
      <c r="AC49" s="6"/>
      <c r="AD49" s="95"/>
      <c r="AE49" s="99"/>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row>
    <row r="50" spans="1:252" s="96" customFormat="1" ht="20.25" customHeight="1">
      <c r="A50"/>
      <c r="B50" s="244"/>
      <c r="C50" s="245"/>
      <c r="D50" s="245"/>
      <c r="E50" s="245"/>
      <c r="F50" s="245"/>
      <c r="G50" s="245"/>
      <c r="H50" s="245"/>
      <c r="I50" s="245"/>
      <c r="J50" s="245"/>
      <c r="K50" s="245"/>
      <c r="L50" s="246"/>
      <c r="M50" s="181"/>
      <c r="N50" s="181"/>
      <c r="O50" s="181"/>
      <c r="P50" s="181"/>
      <c r="Q50"/>
      <c r="R50"/>
      <c r="S50" s="76"/>
      <c r="T50" s="76"/>
      <c r="U50" s="76"/>
      <c r="V50" s="76"/>
      <c r="W50" s="76"/>
      <c r="X50" s="76"/>
      <c r="Y50" s="76"/>
      <c r="Z50" s="76"/>
      <c r="AA50" s="68"/>
      <c r="AB50" s="166"/>
      <c r="AC50" s="6"/>
      <c r="AD50" s="95"/>
      <c r="AE50" s="99"/>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row>
    <row r="51" spans="1:252" s="96" customFormat="1" ht="20.25" customHeight="1">
      <c r="A51"/>
      <c r="B51" s="244"/>
      <c r="C51" s="245"/>
      <c r="D51" s="245"/>
      <c r="E51" s="245"/>
      <c r="F51" s="245"/>
      <c r="G51" s="245"/>
      <c r="H51" s="245"/>
      <c r="I51" s="245"/>
      <c r="J51" s="245"/>
      <c r="K51" s="245"/>
      <c r="L51" s="246"/>
      <c r="M51" s="181"/>
      <c r="N51" s="181"/>
      <c r="O51" s="181"/>
      <c r="P51" s="181"/>
      <c r="Q51"/>
      <c r="R51"/>
      <c r="S51" s="76"/>
      <c r="T51" s="76"/>
      <c r="U51" s="76"/>
      <c r="V51" s="76"/>
      <c r="W51" s="76"/>
      <c r="X51" s="76"/>
      <c r="Y51" s="76"/>
      <c r="Z51" s="76"/>
      <c r="AA51" s="68"/>
      <c r="AB51" s="166"/>
      <c r="AC51" s="6"/>
      <c r="AD51" s="95"/>
      <c r="AE51" s="99"/>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row>
    <row r="52" spans="1:252" s="96" customFormat="1" ht="20.25" customHeight="1">
      <c r="A52"/>
      <c r="B52" s="244"/>
      <c r="C52" s="245"/>
      <c r="D52" s="245"/>
      <c r="E52" s="245"/>
      <c r="F52" s="245"/>
      <c r="G52" s="245"/>
      <c r="H52" s="245"/>
      <c r="I52" s="245"/>
      <c r="J52" s="245"/>
      <c r="K52" s="245"/>
      <c r="L52" s="246"/>
      <c r="M52" s="181"/>
      <c r="N52" s="181"/>
      <c r="O52" s="181"/>
      <c r="P52" s="181"/>
      <c r="Q52"/>
      <c r="R52"/>
      <c r="S52" s="77"/>
      <c r="T52" s="77"/>
      <c r="U52" s="77"/>
      <c r="V52" s="77"/>
      <c r="W52" s="77"/>
      <c r="X52" s="77"/>
      <c r="Y52" s="77"/>
      <c r="Z52" s="78"/>
      <c r="AA52" s="68"/>
      <c r="AB52" s="166"/>
      <c r="AC52" s="6"/>
      <c r="AD52" s="95"/>
      <c r="AE52" s="99"/>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row>
    <row r="53" spans="1:252" s="96" customFormat="1" ht="18.75" customHeight="1">
      <c r="A53"/>
      <c r="B53" s="244"/>
      <c r="C53" s="245"/>
      <c r="D53" s="245"/>
      <c r="E53" s="245"/>
      <c r="F53" s="245"/>
      <c r="G53" s="245"/>
      <c r="H53" s="245"/>
      <c r="I53" s="245"/>
      <c r="J53" s="245"/>
      <c r="K53" s="245"/>
      <c r="L53" s="246"/>
      <c r="M53"/>
      <c r="N53"/>
      <c r="O53"/>
      <c r="P53"/>
      <c r="Q53"/>
      <c r="R53"/>
      <c r="S53" s="76"/>
      <c r="T53" s="183"/>
      <c r="U53" s="79"/>
      <c r="V53" s="6"/>
      <c r="W53" s="78"/>
      <c r="X53" s="76"/>
      <c r="Y53" s="80"/>
      <c r="Z53" s="80"/>
      <c r="AA53" s="68"/>
      <c r="AB53" s="68"/>
      <c r="AC53" s="6"/>
      <c r="AD53" s="95"/>
      <c r="AE53" s="99"/>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row>
    <row r="54" spans="1:252" s="96" customFormat="1" ht="18.75" customHeight="1">
      <c r="A54"/>
      <c r="B54" s="244"/>
      <c r="C54" s="245"/>
      <c r="D54" s="245"/>
      <c r="E54" s="245"/>
      <c r="F54" s="245"/>
      <c r="G54" s="245"/>
      <c r="H54" s="245"/>
      <c r="I54" s="245"/>
      <c r="J54" s="245"/>
      <c r="K54" s="245"/>
      <c r="L54" s="246"/>
      <c r="M54" s="180"/>
      <c r="N54" s="180"/>
      <c r="O54" s="180"/>
      <c r="P54"/>
      <c r="Q54"/>
      <c r="R54"/>
      <c r="S54" s="81"/>
      <c r="T54" s="82"/>
      <c r="U54" s="82"/>
      <c r="V54" s="6"/>
      <c r="W54" s="81"/>
      <c r="X54" s="81"/>
      <c r="Y54" s="6"/>
      <c r="Z54" s="6"/>
      <c r="AA54" s="68"/>
      <c r="AB54" s="68"/>
      <c r="AC54" s="6"/>
      <c r="AD54" s="95"/>
      <c r="AE54" s="99"/>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row>
    <row r="55" spans="1:252" s="96" customFormat="1" ht="15">
      <c r="A55"/>
      <c r="B55" s="244"/>
      <c r="C55" s="245"/>
      <c r="D55" s="245"/>
      <c r="E55" s="245"/>
      <c r="F55" s="245"/>
      <c r="G55" s="245"/>
      <c r="H55" s="245"/>
      <c r="I55" s="245"/>
      <c r="J55" s="245"/>
      <c r="K55" s="245"/>
      <c r="L55" s="246"/>
      <c r="M55" s="181"/>
      <c r="N55" s="181"/>
      <c r="O55" s="181"/>
      <c r="P55"/>
      <c r="Q55"/>
      <c r="R55"/>
      <c r="S55" s="83"/>
      <c r="T55" s="83"/>
      <c r="U55" s="83"/>
      <c r="V55" s="6"/>
      <c r="W55" s="6"/>
      <c r="X55" s="76"/>
      <c r="Y55" s="6"/>
      <c r="Z55" s="6"/>
      <c r="AA55" s="68"/>
      <c r="AB55" s="68"/>
      <c r="AC55" s="6"/>
      <c r="AD55" s="95"/>
      <c r="AE55" s="99"/>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row>
    <row r="56" spans="1:252" s="96" customFormat="1" ht="15">
      <c r="A56"/>
      <c r="B56" s="244"/>
      <c r="C56" s="245"/>
      <c r="D56" s="245"/>
      <c r="E56" s="245"/>
      <c r="F56" s="245"/>
      <c r="G56" s="245"/>
      <c r="H56" s="245"/>
      <c r="I56" s="245"/>
      <c r="J56" s="245"/>
      <c r="K56" s="245"/>
      <c r="L56" s="246"/>
      <c r="M56"/>
      <c r="N56"/>
      <c r="O56"/>
      <c r="P56"/>
      <c r="Q56"/>
      <c r="R56"/>
      <c r="S56" s="83"/>
      <c r="T56" s="83"/>
      <c r="U56" s="83"/>
      <c r="V56" s="6"/>
      <c r="W56" s="6"/>
      <c r="X56" s="81"/>
      <c r="Y56" s="6"/>
      <c r="Z56" s="6"/>
      <c r="AA56" s="68"/>
      <c r="AB56" s="68"/>
      <c r="AC56" s="6"/>
      <c r="AD56" s="95"/>
      <c r="AE56" s="99"/>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row>
    <row r="57" spans="1:252" s="96" customFormat="1" ht="15">
      <c r="A57"/>
      <c r="B57" s="244"/>
      <c r="C57" s="245"/>
      <c r="D57" s="245"/>
      <c r="E57" s="245"/>
      <c r="F57" s="245"/>
      <c r="G57" s="245"/>
      <c r="H57" s="245"/>
      <c r="I57" s="245"/>
      <c r="J57" s="245"/>
      <c r="K57" s="245"/>
      <c r="L57" s="246"/>
      <c r="M57"/>
      <c r="N57"/>
      <c r="O57"/>
      <c r="P57"/>
      <c r="Q57"/>
      <c r="R57"/>
      <c r="S57" s="6"/>
      <c r="T57" s="6"/>
      <c r="U57" s="6"/>
      <c r="V57" s="6"/>
      <c r="W57" s="6"/>
      <c r="X57" s="6"/>
      <c r="Y57" s="6"/>
      <c r="Z57" s="6"/>
      <c r="AA57" s="68"/>
      <c r="AB57" s="68"/>
      <c r="AC57" s="6"/>
      <c r="AD57" s="95"/>
      <c r="AE57" s="99"/>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row>
    <row r="58" spans="1:252" s="96" customFormat="1" ht="15">
      <c r="A58"/>
      <c r="B58" s="244"/>
      <c r="C58" s="245"/>
      <c r="D58" s="245"/>
      <c r="E58" s="245"/>
      <c r="F58" s="245"/>
      <c r="G58" s="245"/>
      <c r="H58" s="245"/>
      <c r="I58" s="245"/>
      <c r="J58" s="245"/>
      <c r="K58" s="245"/>
      <c r="L58" s="246"/>
      <c r="M58"/>
      <c r="N58"/>
      <c r="O58"/>
      <c r="P58"/>
      <c r="Q58"/>
      <c r="R58"/>
      <c r="S58" s="84"/>
      <c r="T58" s="84"/>
      <c r="U58" s="84"/>
      <c r="V58" s="6"/>
      <c r="W58" s="6"/>
      <c r="X58" s="6"/>
      <c r="Y58" s="6"/>
      <c r="Z58" s="6"/>
      <c r="AA58" s="68"/>
      <c r="AB58" s="68"/>
      <c r="AC58" s="6"/>
      <c r="AD58" s="95"/>
      <c r="AE58" s="99"/>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row>
    <row r="59" spans="1:252" s="96" customFormat="1" ht="15">
      <c r="A59"/>
      <c r="B59" s="244"/>
      <c r="C59" s="245"/>
      <c r="D59" s="245"/>
      <c r="E59" s="245"/>
      <c r="F59" s="245"/>
      <c r="G59" s="245"/>
      <c r="H59" s="245"/>
      <c r="I59" s="245"/>
      <c r="J59" s="245"/>
      <c r="K59" s="245"/>
      <c r="L59" s="246"/>
      <c r="M59"/>
      <c r="N59"/>
      <c r="O59"/>
      <c r="P59"/>
      <c r="Q59"/>
      <c r="R59"/>
      <c r="S59" s="6"/>
      <c r="T59" s="6"/>
      <c r="U59" s="6"/>
      <c r="V59" s="6"/>
      <c r="W59" s="6"/>
      <c r="X59" s="6"/>
      <c r="Y59" s="6"/>
      <c r="Z59" s="6"/>
      <c r="AA59" s="68"/>
      <c r="AB59" s="68"/>
      <c r="AC59" s="6"/>
      <c r="AD59" s="95"/>
      <c r="AE59" s="99"/>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row>
    <row r="60" spans="1:252" s="96" customFormat="1" ht="15.75" thickBot="1">
      <c r="A60"/>
      <c r="B60" s="247"/>
      <c r="C60" s="248"/>
      <c r="D60" s="248"/>
      <c r="E60" s="248"/>
      <c r="F60" s="248"/>
      <c r="G60" s="248"/>
      <c r="H60" s="248"/>
      <c r="I60" s="248"/>
      <c r="J60" s="248"/>
      <c r="K60" s="248"/>
      <c r="L60" s="249"/>
      <c r="M60" s="181"/>
      <c r="N60" s="181"/>
      <c r="O60" s="181"/>
      <c r="P60" s="181"/>
      <c r="Q60"/>
      <c r="R60"/>
      <c r="S60" s="6"/>
      <c r="T60" s="6"/>
      <c r="U60" s="6"/>
      <c r="V60" s="6"/>
      <c r="W60" s="6"/>
      <c r="X60" s="6"/>
      <c r="Y60" s="6"/>
      <c r="Z60" s="6"/>
      <c r="AA60" s="68"/>
      <c r="AB60" s="68"/>
      <c r="AC60" s="6"/>
      <c r="AD60" s="95"/>
      <c r="AE60" s="99"/>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row>
    <row r="61" spans="1:252" s="96" customFormat="1" ht="15.75" thickTop="1">
      <c r="A61" s="6"/>
      <c r="B61" s="67" t="s">
        <v>79</v>
      </c>
      <c r="C61" s="205"/>
      <c r="D61" s="205"/>
      <c r="E61" s="205"/>
      <c r="F61" s="205"/>
      <c r="G61" s="205"/>
      <c r="H61" s="32"/>
      <c r="I61" s="104"/>
      <c r="J61" s="6"/>
      <c r="K61" s="67"/>
      <c r="L61" s="205"/>
      <c r="M61" s="205"/>
      <c r="N61" s="205"/>
      <c r="O61" s="205"/>
      <c r="P61" s="205"/>
      <c r="Q61" s="24"/>
      <c r="R61" s="6"/>
      <c r="S61" s="6"/>
      <c r="T61" s="6"/>
      <c r="U61" s="6"/>
      <c r="V61" s="6"/>
      <c r="W61" s="6"/>
      <c r="X61" s="6"/>
      <c r="Y61" s="6"/>
      <c r="Z61" s="6"/>
      <c r="AA61" s="68"/>
      <c r="AB61" s="68"/>
      <c r="AC61" s="6"/>
      <c r="AD61" s="95"/>
      <c r="AE61" s="99"/>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row>
    <row r="62" spans="1:252" s="96" customFormat="1" ht="15">
      <c r="A62" s="6"/>
      <c r="B62" s="57"/>
      <c r="C62" s="57"/>
      <c r="D62" s="57"/>
      <c r="E62" s="57"/>
      <c r="F62" s="57"/>
      <c r="G62" s="57"/>
      <c r="H62" s="105" t="s">
        <v>46</v>
      </c>
      <c r="I62" s="32"/>
      <c r="J62" s="106">
        <v>42114</v>
      </c>
      <c r="K62" s="57"/>
      <c r="L62" s="57"/>
      <c r="M62" s="57"/>
      <c r="N62" s="57"/>
      <c r="O62" s="57"/>
      <c r="P62" s="24"/>
      <c r="Q62" s="24"/>
      <c r="R62" s="6"/>
      <c r="S62" s="6"/>
      <c r="T62" s="6"/>
      <c r="U62" s="6"/>
      <c r="V62" s="68"/>
      <c r="W62" s="6"/>
      <c r="X62" s="6"/>
      <c r="Y62" s="6"/>
      <c r="Z62" s="6"/>
      <c r="AA62" s="68"/>
      <c r="AB62" s="68"/>
      <c r="AC62" s="6"/>
      <c r="AD62" s="95"/>
      <c r="AE62" s="99"/>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row>
    <row r="63" spans="1:252" s="96" customFormat="1" ht="15" hidden="1">
      <c r="A63" s="6"/>
      <c r="B63" s="57"/>
      <c r="C63" s="57"/>
      <c r="D63" s="57"/>
      <c r="E63" s="57"/>
      <c r="F63" s="57"/>
      <c r="G63" s="57"/>
      <c r="H63" s="57"/>
      <c r="I63" s="57"/>
      <c r="J63" s="57"/>
      <c r="K63" s="57"/>
      <c r="L63" s="57"/>
      <c r="M63" s="57"/>
      <c r="N63" s="57"/>
      <c r="O63" s="57"/>
      <c r="P63" s="24"/>
      <c r="Q63" s="24"/>
      <c r="R63" s="6"/>
      <c r="S63" s="6"/>
      <c r="T63" s="6"/>
      <c r="U63" s="6"/>
      <c r="V63" s="6"/>
      <c r="W63" s="6"/>
      <c r="X63" s="6"/>
      <c r="Y63" s="6"/>
      <c r="Z63" s="6"/>
      <c r="AA63" s="68"/>
      <c r="AB63" s="68"/>
      <c r="AC63" s="6"/>
      <c r="AD63" s="95"/>
      <c r="AE63" s="99"/>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row>
    <row r="64" spans="1:252" s="96" customFormat="1" ht="15" hidden="1">
      <c r="A64" s="6"/>
      <c r="B64" s="57"/>
      <c r="C64" s="57"/>
      <c r="D64" s="57"/>
      <c r="E64" s="57"/>
      <c r="F64" s="57"/>
      <c r="G64" s="57"/>
      <c r="H64" s="57"/>
      <c r="I64" s="57"/>
      <c r="J64" s="57"/>
      <c r="K64" s="57"/>
      <c r="L64" s="57"/>
      <c r="M64" s="57"/>
      <c r="N64" s="57"/>
      <c r="O64" s="57"/>
      <c r="P64" s="24"/>
      <c r="Q64" s="24"/>
      <c r="R64" s="6"/>
      <c r="S64" s="6"/>
      <c r="T64" s="6"/>
      <c r="U64" s="6"/>
      <c r="V64" s="6"/>
      <c r="W64" s="6"/>
      <c r="X64" s="6"/>
      <c r="Y64" s="6"/>
      <c r="Z64" s="6"/>
      <c r="AA64" s="68"/>
      <c r="AB64" s="68"/>
      <c r="AC64" s="6"/>
      <c r="AD64" s="95"/>
      <c r="AE64" s="99"/>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row>
    <row r="65" spans="1:252" s="96" customFormat="1" ht="15" hidden="1">
      <c r="A65" s="6"/>
      <c r="B65" s="57"/>
      <c r="C65" s="57"/>
      <c r="D65" s="57"/>
      <c r="E65" s="57"/>
      <c r="F65" s="57"/>
      <c r="G65" s="57"/>
      <c r="H65" s="57"/>
      <c r="I65" s="57"/>
      <c r="J65" s="57"/>
      <c r="K65" s="57"/>
      <c r="L65" s="57"/>
      <c r="M65" s="57"/>
      <c r="N65" s="57"/>
      <c r="O65" s="57"/>
      <c r="P65" s="24"/>
      <c r="Q65" s="24"/>
      <c r="R65" s="6"/>
      <c r="S65" s="6"/>
      <c r="T65" s="6"/>
      <c r="U65" s="6"/>
      <c r="V65" s="6"/>
      <c r="W65" s="6"/>
      <c r="X65" s="6"/>
      <c r="Y65" s="6"/>
      <c r="Z65" s="6"/>
      <c r="AA65" s="68"/>
      <c r="AB65" s="68"/>
      <c r="AC65" s="6"/>
      <c r="AD65" s="95"/>
      <c r="AE65" s="99"/>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row>
    <row r="66" spans="1:252" s="96" customFormat="1" ht="15" hidden="1">
      <c r="A66" s="6"/>
      <c r="B66" s="57"/>
      <c r="C66" s="57"/>
      <c r="D66" s="57"/>
      <c r="E66" s="57"/>
      <c r="F66" s="57"/>
      <c r="G66" s="57"/>
      <c r="H66" s="57"/>
      <c r="I66" s="57"/>
      <c r="J66" s="57"/>
      <c r="K66" s="57"/>
      <c r="L66" s="57"/>
      <c r="M66" s="57"/>
      <c r="N66" s="57"/>
      <c r="O66" s="57"/>
      <c r="P66" s="24"/>
      <c r="Q66" s="24"/>
      <c r="R66" s="6"/>
      <c r="S66" s="6"/>
      <c r="T66" s="6"/>
      <c r="U66" s="6"/>
      <c r="V66" s="6"/>
      <c r="W66" s="6"/>
      <c r="X66" s="6"/>
      <c r="Y66" s="6"/>
      <c r="Z66" s="6"/>
      <c r="AA66" s="68"/>
      <c r="AB66" s="68"/>
      <c r="AC66" s="6"/>
      <c r="AD66" s="95"/>
      <c r="AE66" s="99"/>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row>
    <row r="67" spans="1:252" s="96" customFormat="1" ht="15" hidden="1">
      <c r="A67" s="6"/>
      <c r="B67" s="57"/>
      <c r="C67" s="57"/>
      <c r="D67" s="57"/>
      <c r="E67" s="57"/>
      <c r="F67" s="57"/>
      <c r="G67" s="57"/>
      <c r="H67" s="57"/>
      <c r="I67" s="57"/>
      <c r="J67" s="57"/>
      <c r="K67" s="57"/>
      <c r="L67" s="57"/>
      <c r="M67" s="57"/>
      <c r="N67" s="57"/>
      <c r="O67" s="57"/>
      <c r="P67" s="24"/>
      <c r="Q67" s="24"/>
      <c r="R67" s="6"/>
      <c r="S67" s="6"/>
      <c r="T67" s="6"/>
      <c r="U67" s="6"/>
      <c r="V67" s="6"/>
      <c r="W67" s="6"/>
      <c r="X67" s="6"/>
      <c r="Y67" s="6"/>
      <c r="Z67" s="6"/>
      <c r="AA67" s="68"/>
      <c r="AB67" s="68"/>
      <c r="AC67" s="6"/>
      <c r="AD67" s="95"/>
      <c r="AE67" s="99"/>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row>
    <row r="68" spans="1:252" s="96" customFormat="1" ht="15" hidden="1">
      <c r="A68" s="6"/>
      <c r="B68" s="57"/>
      <c r="C68" s="57"/>
      <c r="D68" s="57"/>
      <c r="E68" s="57"/>
      <c r="F68" s="57"/>
      <c r="G68" s="57"/>
      <c r="H68" s="57"/>
      <c r="I68" s="57"/>
      <c r="J68" s="57"/>
      <c r="K68" s="57"/>
      <c r="L68" s="57"/>
      <c r="M68" s="57"/>
      <c r="N68" s="57"/>
      <c r="O68" s="57"/>
      <c r="P68" s="24"/>
      <c r="Q68" s="24"/>
      <c r="R68" s="6"/>
      <c r="S68" s="6"/>
      <c r="T68" s="6"/>
      <c r="U68" s="6"/>
      <c r="V68" s="6"/>
      <c r="W68" s="6"/>
      <c r="X68" s="6"/>
      <c r="Y68" s="6"/>
      <c r="Z68" s="6"/>
      <c r="AA68" s="68"/>
      <c r="AB68" s="68"/>
      <c r="AC68" s="6"/>
      <c r="AD68" s="95"/>
      <c r="AE68" s="99"/>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row>
    <row r="69" spans="1:252" s="96" customFormat="1" ht="15" hidden="1">
      <c r="A69" s="6"/>
      <c r="B69" s="57"/>
      <c r="C69" s="57"/>
      <c r="D69" s="57"/>
      <c r="E69" s="57"/>
      <c r="F69" s="57"/>
      <c r="G69" s="57"/>
      <c r="H69" s="57"/>
      <c r="I69" s="57"/>
      <c r="J69" s="57"/>
      <c r="K69" s="57"/>
      <c r="L69" s="57"/>
      <c r="M69" s="57"/>
      <c r="N69" s="57"/>
      <c r="O69" s="57"/>
      <c r="P69" s="24"/>
      <c r="Q69" s="24"/>
      <c r="R69" s="6"/>
      <c r="S69" s="6"/>
      <c r="T69" s="6"/>
      <c r="U69" s="6"/>
      <c r="V69" s="6"/>
      <c r="W69" s="6"/>
      <c r="X69" s="6"/>
      <c r="Y69" s="6"/>
      <c r="Z69" s="6"/>
      <c r="AA69" s="68"/>
      <c r="AB69" s="68"/>
      <c r="AC69" s="6"/>
      <c r="AD69" s="95"/>
      <c r="AE69" s="99"/>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row>
    <row r="70" spans="1:252" s="96" customFormat="1" ht="15" hidden="1">
      <c r="A70" s="6"/>
      <c r="B70" s="57"/>
      <c r="C70" s="57"/>
      <c r="D70" s="57"/>
      <c r="E70" s="57"/>
      <c r="F70" s="57"/>
      <c r="G70" s="57"/>
      <c r="H70" s="57"/>
      <c r="I70" s="57"/>
      <c r="J70" s="57"/>
      <c r="K70" s="57"/>
      <c r="L70" s="57"/>
      <c r="M70" s="57"/>
      <c r="N70" s="57"/>
      <c r="O70" s="57"/>
      <c r="P70" s="24"/>
      <c r="Q70" s="24"/>
      <c r="R70" s="6"/>
      <c r="S70" s="6"/>
      <c r="T70" s="6"/>
      <c r="U70" s="6"/>
      <c r="V70" s="6"/>
      <c r="W70" s="6"/>
      <c r="X70" s="6"/>
      <c r="Y70" s="6"/>
      <c r="Z70" s="6"/>
      <c r="AA70" s="68"/>
      <c r="AB70" s="68"/>
      <c r="AC70" s="6"/>
      <c r="AD70" s="95"/>
      <c r="AE70" s="99"/>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row>
    <row r="71" spans="1:252" s="96" customFormat="1" ht="15" hidden="1">
      <c r="A71" s="6"/>
      <c r="B71" s="57"/>
      <c r="C71" s="57"/>
      <c r="D71" s="57"/>
      <c r="E71" s="57"/>
      <c r="F71" s="57"/>
      <c r="G71" s="57"/>
      <c r="H71" s="57"/>
      <c r="I71" s="57"/>
      <c r="J71" s="57"/>
      <c r="K71" s="57"/>
      <c r="L71" s="57"/>
      <c r="M71" s="57"/>
      <c r="N71" s="57"/>
      <c r="O71" s="57"/>
      <c r="P71" s="24"/>
      <c r="Q71" s="24"/>
      <c r="R71" s="6"/>
      <c r="S71" s="6"/>
      <c r="T71" s="6"/>
      <c r="U71" s="6"/>
      <c r="V71" s="6"/>
      <c r="W71" s="6"/>
      <c r="X71" s="6"/>
      <c r="Y71" s="6"/>
      <c r="Z71" s="6"/>
      <c r="AA71" s="68"/>
      <c r="AB71" s="68"/>
      <c r="AC71" s="6"/>
      <c r="AD71" s="95"/>
      <c r="AE71" s="99"/>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row>
    <row r="72" spans="1:252" s="96" customFormat="1" ht="15" hidden="1">
      <c r="A72" s="6"/>
      <c r="B72" s="57"/>
      <c r="C72" s="57"/>
      <c r="D72" s="57"/>
      <c r="E72" s="57"/>
      <c r="F72" s="57"/>
      <c r="G72" s="57"/>
      <c r="H72" s="57"/>
      <c r="I72" s="57"/>
      <c r="J72" s="57"/>
      <c r="K72" s="57"/>
      <c r="L72" s="57"/>
      <c r="M72" s="57"/>
      <c r="N72" s="57"/>
      <c r="O72" s="57"/>
      <c r="P72" s="24"/>
      <c r="Q72" s="24"/>
      <c r="R72" s="6"/>
      <c r="S72" s="6"/>
      <c r="T72" s="6"/>
      <c r="U72" s="6"/>
      <c r="V72" s="6"/>
      <c r="W72" s="6"/>
      <c r="X72" s="6"/>
      <c r="Y72" s="6"/>
      <c r="Z72" s="6"/>
      <c r="AA72" s="68"/>
      <c r="AB72" s="68"/>
      <c r="AC72" s="6"/>
      <c r="AD72" s="95"/>
      <c r="AE72" s="99"/>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row>
    <row r="73" spans="1:252" s="96" customFormat="1" ht="15" hidden="1">
      <c r="A73" s="6"/>
      <c r="B73" s="57"/>
      <c r="C73" s="57"/>
      <c r="D73" s="57"/>
      <c r="E73" s="57"/>
      <c r="F73" s="57"/>
      <c r="G73" s="57"/>
      <c r="H73" s="57"/>
      <c r="I73" s="57"/>
      <c r="J73" s="57"/>
      <c r="K73" s="57"/>
      <c r="L73" s="57"/>
      <c r="M73" s="57"/>
      <c r="N73" s="57"/>
      <c r="O73" s="57"/>
      <c r="P73" s="24"/>
      <c r="Q73" s="24"/>
      <c r="R73" s="6"/>
      <c r="S73" s="6"/>
      <c r="T73" s="6"/>
      <c r="U73" s="6"/>
      <c r="V73" s="6"/>
      <c r="W73" s="6"/>
      <c r="X73" s="6"/>
      <c r="Y73" s="6"/>
      <c r="Z73" s="6"/>
      <c r="AA73" s="68"/>
      <c r="AB73" s="68"/>
      <c r="AC73" s="6"/>
      <c r="AD73" s="95"/>
      <c r="AE73" s="99"/>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c r="HR73" s="3"/>
      <c r="HS73" s="3"/>
      <c r="HT73" s="3"/>
      <c r="HU73" s="3"/>
      <c r="HV73" s="3"/>
      <c r="HW73" s="3"/>
      <c r="HX73" s="3"/>
      <c r="HY73" s="3"/>
      <c r="HZ73" s="3"/>
      <c r="IA73" s="3"/>
      <c r="IB73" s="3"/>
      <c r="IC73" s="3"/>
      <c r="ID73" s="3"/>
      <c r="IE73" s="3"/>
      <c r="IF73" s="3"/>
      <c r="IG73" s="3"/>
      <c r="IH73" s="3"/>
      <c r="II73" s="3"/>
      <c r="IJ73" s="3"/>
      <c r="IK73" s="3"/>
      <c r="IL73" s="3"/>
      <c r="IM73" s="3"/>
      <c r="IN73" s="3"/>
      <c r="IO73" s="3"/>
      <c r="IP73" s="3"/>
      <c r="IQ73" s="3"/>
      <c r="IR73" s="3"/>
    </row>
    <row r="74" spans="1:252" s="96" customFormat="1" ht="15" hidden="1">
      <c r="A74" s="6"/>
      <c r="B74" s="57"/>
      <c r="C74" s="57"/>
      <c r="D74" s="57"/>
      <c r="E74" s="57"/>
      <c r="F74" s="57"/>
      <c r="G74" s="57"/>
      <c r="H74" s="57"/>
      <c r="I74" s="57"/>
      <c r="J74" s="57"/>
      <c r="K74" s="57"/>
      <c r="L74" s="57"/>
      <c r="M74" s="57"/>
      <c r="N74" s="57"/>
      <c r="O74" s="57"/>
      <c r="P74" s="24"/>
      <c r="Q74" s="24"/>
      <c r="R74" s="6"/>
      <c r="S74" s="6"/>
      <c r="T74" s="6"/>
      <c r="U74" s="6"/>
      <c r="V74" s="6"/>
      <c r="W74" s="6"/>
      <c r="X74" s="6"/>
      <c r="Y74" s="6"/>
      <c r="Z74" s="6"/>
      <c r="AA74" s="68"/>
      <c r="AB74" s="68"/>
      <c r="AC74" s="6"/>
      <c r="AD74" s="95"/>
      <c r="AE74" s="99"/>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row>
    <row r="75" spans="1:252" s="96" customFormat="1" ht="15" hidden="1">
      <c r="A75" s="6"/>
      <c r="B75" s="57"/>
      <c r="C75" s="57"/>
      <c r="D75" s="57"/>
      <c r="E75" s="57"/>
      <c r="F75" s="57"/>
      <c r="G75" s="57"/>
      <c r="H75" s="57"/>
      <c r="I75" s="57"/>
      <c r="J75" s="57"/>
      <c r="K75" s="57"/>
      <c r="L75" s="57"/>
      <c r="M75" s="57"/>
      <c r="N75" s="57"/>
      <c r="O75" s="57"/>
      <c r="P75" s="24"/>
      <c r="Q75" s="24"/>
      <c r="R75" s="6"/>
      <c r="S75" s="6"/>
      <c r="T75" s="6"/>
      <c r="U75" s="6"/>
      <c r="V75" s="6"/>
      <c r="W75" s="6"/>
      <c r="X75" s="6"/>
      <c r="Y75" s="6"/>
      <c r="Z75" s="6"/>
      <c r="AA75" s="68"/>
      <c r="AB75" s="68"/>
      <c r="AC75" s="6"/>
      <c r="AD75" s="95"/>
      <c r="AE75" s="99"/>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row>
    <row r="76" spans="1:252" s="96" customFormat="1" ht="15" hidden="1">
      <c r="A76" s="6"/>
      <c r="B76" s="57"/>
      <c r="C76" s="57"/>
      <c r="D76" s="57"/>
      <c r="E76" s="57"/>
      <c r="F76" s="57"/>
      <c r="G76" s="57"/>
      <c r="H76" s="57"/>
      <c r="I76" s="57"/>
      <c r="J76" s="57"/>
      <c r="K76" s="57"/>
      <c r="L76" s="57"/>
      <c r="M76" s="57"/>
      <c r="N76" s="57"/>
      <c r="O76" s="57"/>
      <c r="P76" s="24"/>
      <c r="Q76" s="24"/>
      <c r="R76" s="6"/>
      <c r="S76" s="6"/>
      <c r="T76" s="6"/>
      <c r="U76" s="6"/>
      <c r="V76" s="6"/>
      <c r="W76" s="6"/>
      <c r="X76" s="6"/>
      <c r="Y76" s="6"/>
      <c r="Z76" s="6"/>
      <c r="AA76" s="68"/>
      <c r="AB76" s="68"/>
      <c r="AC76" s="6"/>
      <c r="AD76" s="95"/>
      <c r="AE76" s="99"/>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row>
    <row r="77" spans="1:252" s="96" customFormat="1" ht="15" hidden="1">
      <c r="A77" s="6"/>
      <c r="B77" s="57"/>
      <c r="C77" s="57"/>
      <c r="D77" s="57"/>
      <c r="E77" s="57"/>
      <c r="F77" s="57"/>
      <c r="G77" s="57"/>
      <c r="H77" s="57"/>
      <c r="I77" s="57"/>
      <c r="J77" s="57"/>
      <c r="K77" s="57"/>
      <c r="L77" s="57"/>
      <c r="M77" s="57"/>
      <c r="N77" s="57"/>
      <c r="O77" s="57"/>
      <c r="P77" s="24"/>
      <c r="Q77" s="24"/>
      <c r="R77" s="6"/>
      <c r="S77" s="6"/>
      <c r="T77" s="6"/>
      <c r="U77" s="6"/>
      <c r="V77" s="6"/>
      <c r="W77" s="6"/>
      <c r="X77" s="6"/>
      <c r="Y77" s="6"/>
      <c r="Z77" s="6"/>
      <c r="AA77" s="68"/>
      <c r="AB77" s="68"/>
      <c r="AC77" s="6"/>
      <c r="AD77" s="95"/>
      <c r="AE77" s="99"/>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c r="HF77" s="3"/>
      <c r="HG77" s="3"/>
      <c r="HH77" s="3"/>
      <c r="HI77" s="3"/>
      <c r="HJ77" s="3"/>
      <c r="HK77" s="3"/>
      <c r="HL77" s="3"/>
      <c r="HM77" s="3"/>
      <c r="HN77" s="3"/>
      <c r="HO77" s="3"/>
      <c r="HP77" s="3"/>
      <c r="HQ77" s="3"/>
      <c r="HR77" s="3"/>
      <c r="HS77" s="3"/>
      <c r="HT77" s="3"/>
      <c r="HU77" s="3"/>
      <c r="HV77" s="3"/>
      <c r="HW77" s="3"/>
      <c r="HX77" s="3"/>
      <c r="HY77" s="3"/>
      <c r="HZ77" s="3"/>
      <c r="IA77" s="3"/>
      <c r="IB77" s="3"/>
      <c r="IC77" s="3"/>
      <c r="ID77" s="3"/>
      <c r="IE77" s="3"/>
      <c r="IF77" s="3"/>
      <c r="IG77" s="3"/>
      <c r="IH77" s="3"/>
      <c r="II77" s="3"/>
      <c r="IJ77" s="3"/>
      <c r="IK77" s="3"/>
      <c r="IL77" s="3"/>
      <c r="IM77" s="3"/>
      <c r="IN77" s="3"/>
      <c r="IO77" s="3"/>
      <c r="IP77" s="3"/>
      <c r="IQ77" s="3"/>
      <c r="IR77" s="3"/>
    </row>
    <row r="78" spans="1:252" s="96" customFormat="1" ht="15" hidden="1">
      <c r="A78" s="6"/>
      <c r="B78" s="57"/>
      <c r="C78" s="57"/>
      <c r="D78" s="57"/>
      <c r="E78" s="57"/>
      <c r="F78" s="57"/>
      <c r="G78" s="57"/>
      <c r="H78" s="57"/>
      <c r="I78" s="57"/>
      <c r="J78" s="57"/>
      <c r="K78" s="57"/>
      <c r="L78" s="57"/>
      <c r="M78" s="57"/>
      <c r="N78" s="57"/>
      <c r="O78" s="57"/>
      <c r="P78" s="24"/>
      <c r="Q78" s="24"/>
      <c r="R78" s="6"/>
      <c r="S78" s="6"/>
      <c r="T78" s="6"/>
      <c r="U78" s="6"/>
      <c r="V78" s="6"/>
      <c r="W78" s="6"/>
      <c r="X78" s="6"/>
      <c r="Y78" s="6"/>
      <c r="Z78" s="6"/>
      <c r="AA78" s="68"/>
      <c r="AB78" s="68"/>
      <c r="AC78" s="6"/>
      <c r="AD78" s="95"/>
      <c r="AE78" s="99"/>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c r="HF78" s="3"/>
      <c r="HG78" s="3"/>
      <c r="HH78" s="3"/>
      <c r="HI78" s="3"/>
      <c r="HJ78" s="3"/>
      <c r="HK78" s="3"/>
      <c r="HL78" s="3"/>
      <c r="HM78" s="3"/>
      <c r="HN78" s="3"/>
      <c r="HO78" s="3"/>
      <c r="HP78" s="3"/>
      <c r="HQ78" s="3"/>
      <c r="HR78" s="3"/>
      <c r="HS78" s="3"/>
      <c r="HT78" s="3"/>
      <c r="HU78" s="3"/>
      <c r="HV78" s="3"/>
      <c r="HW78" s="3"/>
      <c r="HX78" s="3"/>
      <c r="HY78" s="3"/>
      <c r="HZ78" s="3"/>
      <c r="IA78" s="3"/>
      <c r="IB78" s="3"/>
      <c r="IC78" s="3"/>
      <c r="ID78" s="3"/>
      <c r="IE78" s="3"/>
      <c r="IF78" s="3"/>
      <c r="IG78" s="3"/>
      <c r="IH78" s="3"/>
      <c r="II78" s="3"/>
      <c r="IJ78" s="3"/>
      <c r="IK78" s="3"/>
      <c r="IL78" s="3"/>
      <c r="IM78" s="3"/>
      <c r="IN78" s="3"/>
      <c r="IO78" s="3"/>
      <c r="IP78" s="3"/>
      <c r="IQ78" s="3"/>
      <c r="IR78" s="3"/>
    </row>
    <row r="79" spans="1:252" s="96" customFormat="1" ht="15" hidden="1">
      <c r="A79" s="6"/>
      <c r="B79" s="57"/>
      <c r="C79" s="57"/>
      <c r="D79" s="57"/>
      <c r="E79" s="57"/>
      <c r="F79" s="57"/>
      <c r="G79" s="57"/>
      <c r="H79" s="57"/>
      <c r="I79" s="57"/>
      <c r="J79" s="57"/>
      <c r="K79" s="57"/>
      <c r="L79" s="57"/>
      <c r="M79" s="57"/>
      <c r="N79" s="57"/>
      <c r="O79" s="57"/>
      <c r="P79" s="24"/>
      <c r="Q79" s="24"/>
      <c r="R79" s="6"/>
      <c r="S79" s="6"/>
      <c r="T79" s="6"/>
      <c r="U79" s="6"/>
      <c r="V79" s="6"/>
      <c r="W79" s="6"/>
      <c r="X79" s="6"/>
      <c r="Y79" s="6"/>
      <c r="Z79" s="6"/>
      <c r="AA79" s="68"/>
      <c r="AB79" s="68"/>
      <c r="AC79" s="6"/>
      <c r="AD79" s="95"/>
      <c r="AE79" s="99"/>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c r="HF79" s="3"/>
      <c r="HG79" s="3"/>
      <c r="HH79" s="3"/>
      <c r="HI79" s="3"/>
      <c r="HJ79" s="3"/>
      <c r="HK79" s="3"/>
      <c r="HL79" s="3"/>
      <c r="HM79" s="3"/>
      <c r="HN79" s="3"/>
      <c r="HO79" s="3"/>
      <c r="HP79" s="3"/>
      <c r="HQ79" s="3"/>
      <c r="HR79" s="3"/>
      <c r="HS79" s="3"/>
      <c r="HT79" s="3"/>
      <c r="HU79" s="3"/>
      <c r="HV79" s="3"/>
      <c r="HW79" s="3"/>
      <c r="HX79" s="3"/>
      <c r="HY79" s="3"/>
      <c r="HZ79" s="3"/>
      <c r="IA79" s="3"/>
      <c r="IB79" s="3"/>
      <c r="IC79" s="3"/>
      <c r="ID79" s="3"/>
      <c r="IE79" s="3"/>
      <c r="IF79" s="3"/>
      <c r="IG79" s="3"/>
      <c r="IH79" s="3"/>
      <c r="II79" s="3"/>
      <c r="IJ79" s="3"/>
      <c r="IK79" s="3"/>
      <c r="IL79" s="3"/>
      <c r="IM79" s="3"/>
      <c r="IN79" s="3"/>
      <c r="IO79" s="3"/>
      <c r="IP79" s="3"/>
      <c r="IQ79" s="3"/>
      <c r="IR79" s="3"/>
    </row>
    <row r="80" spans="1:252" s="96" customFormat="1" ht="15" hidden="1">
      <c r="A80" s="6"/>
      <c r="B80" s="57"/>
      <c r="C80" s="57"/>
      <c r="D80" s="57"/>
      <c r="E80" s="57"/>
      <c r="F80" s="57"/>
      <c r="G80" s="57"/>
      <c r="H80" s="57"/>
      <c r="I80" s="57"/>
      <c r="J80" s="57"/>
      <c r="K80" s="57"/>
      <c r="L80" s="57"/>
      <c r="M80" s="57"/>
      <c r="N80" s="57"/>
      <c r="O80" s="57"/>
      <c r="P80" s="24"/>
      <c r="Q80" s="24"/>
      <c r="R80" s="6"/>
      <c r="S80" s="6"/>
      <c r="T80" s="6"/>
      <c r="U80" s="6"/>
      <c r="V80" s="6"/>
      <c r="W80" s="6"/>
      <c r="X80" s="6"/>
      <c r="Y80" s="6"/>
      <c r="Z80" s="6"/>
      <c r="AA80" s="68"/>
      <c r="AB80" s="68"/>
      <c r="AC80" s="6"/>
      <c r="AD80" s="95"/>
      <c r="AE80" s="99"/>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c r="HF80" s="3"/>
      <c r="HG80" s="3"/>
      <c r="HH80" s="3"/>
      <c r="HI80" s="3"/>
      <c r="HJ80" s="3"/>
      <c r="HK80" s="3"/>
      <c r="HL80" s="3"/>
      <c r="HM80" s="3"/>
      <c r="HN80" s="3"/>
      <c r="HO80" s="3"/>
      <c r="HP80" s="3"/>
      <c r="HQ80" s="3"/>
      <c r="HR80" s="3"/>
      <c r="HS80" s="3"/>
      <c r="HT80" s="3"/>
      <c r="HU80" s="3"/>
      <c r="HV80" s="3"/>
      <c r="HW80" s="3"/>
      <c r="HX80" s="3"/>
      <c r="HY80" s="3"/>
      <c r="HZ80" s="3"/>
      <c r="IA80" s="3"/>
      <c r="IB80" s="3"/>
      <c r="IC80" s="3"/>
      <c r="ID80" s="3"/>
      <c r="IE80" s="3"/>
      <c r="IF80" s="3"/>
      <c r="IG80" s="3"/>
      <c r="IH80" s="3"/>
      <c r="II80" s="3"/>
      <c r="IJ80" s="3"/>
      <c r="IK80" s="3"/>
      <c r="IL80" s="3"/>
      <c r="IM80" s="3"/>
      <c r="IN80" s="3"/>
      <c r="IO80" s="3"/>
      <c r="IP80" s="3"/>
      <c r="IQ80" s="3"/>
      <c r="IR80" s="3"/>
    </row>
  </sheetData>
  <sheetProtection password="EE1F" sheet="1" objects="1" scenarios="1" selectLockedCells="1"/>
  <protectedRanges>
    <protectedRange sqref="M7 F12 I13:M13 F16 E17 I17:M17 F22:H52 L23:P52 C22:C52" name="Eingabebereich"/>
  </protectedRanges>
  <mergeCells count="3">
    <mergeCell ref="B2:L16"/>
    <mergeCell ref="B18:L60"/>
    <mergeCell ref="E17:F17"/>
  </mergeCells>
  <conditionalFormatting sqref="N13 N17">
    <cfRule type="cellIs" dxfId="2296" priority="88" stopIfTrue="1" operator="equal">
      <formula>0</formula>
    </cfRule>
  </conditionalFormatting>
  <conditionalFormatting sqref="N13">
    <cfRule type="cellIs" dxfId="2295" priority="208" stopIfTrue="1" operator="equal">
      <formula>$F$12</formula>
    </cfRule>
    <cfRule type="cellIs" dxfId="2294" priority="209" stopIfTrue="1" operator="notEqual">
      <formula>$F$12</formula>
    </cfRule>
  </conditionalFormatting>
  <conditionalFormatting sqref="N17">
    <cfRule type="cellIs" dxfId="2293" priority="89" stopIfTrue="1" operator="notEqual">
      <formula>$F$16</formula>
    </cfRule>
    <cfRule type="cellIs" dxfId="2292" priority="207" stopIfTrue="1" operator="equal">
      <formula>$F$16</formula>
    </cfRule>
  </conditionalFormatting>
  <conditionalFormatting sqref="M55:N55">
    <cfRule type="expression" dxfId="2291" priority="83" stopIfTrue="1">
      <formula>OR(($A55="Samstag"),($A55="Sonntag"))</formula>
    </cfRule>
  </conditionalFormatting>
  <conditionalFormatting sqref="M56:P59">
    <cfRule type="expression" dxfId="2290" priority="11">
      <formula>($K$55&gt;"")</formula>
    </cfRule>
  </conditionalFormatting>
  <dataValidations disablePrompts="1" count="2">
    <dataValidation type="list" allowBlank="1" showInputMessage="1" showErrorMessage="1" sqref="E17:F17">
      <formula1>$B$22:$B$52</formula1>
    </dataValidation>
    <dataValidation type="decimal" allowBlank="1" showInputMessage="1" showErrorMessage="1" sqref="M12 M16">
      <formula1>$AA$35</formula1>
      <formula2>$AA$36</formula2>
    </dataValidation>
  </dataValidations>
  <pageMargins left="0.43307086614173229" right="0.23622047244094491" top="0.89" bottom="0.54" header="0.4" footer="0.31496062992125984"/>
  <pageSetup paperSize="9" scale="67" orientation="portrait" r:id="rId1"/>
  <headerFooter differentFirst="1" alignWithMargins="0">
    <firstHeader>&amp;L&amp;G</firstHeader>
  </headerFooter>
  <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IR80"/>
  <sheetViews>
    <sheetView showGridLines="0" showRowColHeaders="0" zoomScaleNormal="100" zoomScaleSheetLayoutView="55" workbookViewId="0">
      <selection activeCell="F16" sqref="F16"/>
    </sheetView>
  </sheetViews>
  <sheetFormatPr baseColWidth="10" defaultColWidth="6.25" defaultRowHeight="0" customHeight="1" zeroHeight="1"/>
  <cols>
    <col min="1" max="1" width="5" style="6" customWidth="1"/>
    <col min="2" max="2" width="11.25" style="57" customWidth="1"/>
    <col min="3" max="3" width="7.5" style="57" customWidth="1"/>
    <col min="4" max="8" width="7.75" style="57" customWidth="1"/>
    <col min="9" max="13" width="8.125" style="57" customWidth="1"/>
    <col min="14" max="14" width="7.5" style="57" customWidth="1"/>
    <col min="15" max="15" width="10" style="57" customWidth="1"/>
    <col min="16" max="16" width="7.5" style="24" customWidth="1"/>
    <col min="17" max="17" width="5" style="24" customWidth="1"/>
    <col min="18" max="18" width="10.125" style="6" customWidth="1"/>
    <col min="19" max="19" width="7.5" style="6" bestFit="1" customWidth="1"/>
    <col min="20" max="20" width="8.5" style="6" bestFit="1" customWidth="1"/>
    <col min="21" max="21" width="7.25" style="6" bestFit="1" customWidth="1"/>
    <col min="22" max="22" width="7.75" style="6" bestFit="1" customWidth="1"/>
    <col min="23" max="23" width="7.5" style="6" bestFit="1" customWidth="1"/>
    <col min="24" max="24" width="8.125" style="6" bestFit="1" customWidth="1"/>
    <col min="25" max="25" width="7.25" style="6" bestFit="1" customWidth="1"/>
    <col min="26" max="26" width="7.25" style="6" customWidth="1"/>
    <col min="27" max="27" width="10.5" style="68" customWidth="1"/>
    <col min="28" max="28" width="9.875" style="68" customWidth="1"/>
    <col min="29" max="29" width="11.125" style="6" customWidth="1"/>
    <col min="30" max="31" width="11.125" style="95" customWidth="1"/>
    <col min="32" max="34" width="6.25" style="96" customWidth="1"/>
    <col min="35" max="252" width="6.25" style="3" customWidth="1"/>
    <col min="253" max="16384" width="6.25" style="3"/>
  </cols>
  <sheetData>
    <row r="1" spans="1:34" ht="11.25" customHeight="1">
      <c r="A1" s="3"/>
      <c r="B1" s="92"/>
      <c r="C1" s="92"/>
      <c r="D1" s="92"/>
      <c r="E1" s="92"/>
      <c r="F1" s="92"/>
      <c r="G1" s="92"/>
      <c r="H1" s="92"/>
      <c r="I1" s="92"/>
      <c r="J1" s="92"/>
      <c r="K1" s="92"/>
      <c r="L1" s="92"/>
      <c r="M1" s="92"/>
      <c r="N1" s="92"/>
      <c r="O1" s="92"/>
      <c r="P1" s="8"/>
      <c r="Q1" s="154"/>
      <c r="R1" s="154"/>
      <c r="S1" s="69"/>
      <c r="T1" s="69"/>
      <c r="U1" s="69"/>
      <c r="V1" s="3"/>
      <c r="W1" s="3"/>
      <c r="X1" s="3"/>
      <c r="Y1" s="3"/>
      <c r="Z1" s="3"/>
      <c r="AA1" s="3"/>
      <c r="AB1" s="3"/>
      <c r="AC1" s="3"/>
      <c r="AD1" s="3"/>
      <c r="AE1" s="3"/>
      <c r="AF1" s="3"/>
      <c r="AG1" s="3"/>
      <c r="AH1" s="3"/>
    </row>
    <row r="2" spans="1:34" ht="18.75" customHeight="1">
      <c r="A2" s="3"/>
      <c r="B2" s="221" t="s">
        <v>9</v>
      </c>
      <c r="C2" s="221"/>
      <c r="D2" s="221"/>
      <c r="E2" s="221"/>
      <c r="F2" s="221"/>
      <c r="G2" s="221"/>
      <c r="H2" s="221"/>
      <c r="I2" s="221" t="s">
        <v>10</v>
      </c>
      <c r="J2" s="221"/>
      <c r="K2" s="278">
        <f>Übersicht!K2</f>
        <v>2017</v>
      </c>
      <c r="L2" s="278"/>
      <c r="M2" s="93"/>
      <c r="N2" s="93"/>
      <c r="O2" s="93"/>
      <c r="P2" s="94"/>
      <c r="Q2" s="154"/>
      <c r="R2" s="154"/>
      <c r="S2" s="69"/>
      <c r="T2" s="69"/>
      <c r="U2" s="69"/>
      <c r="V2" s="3"/>
      <c r="W2" s="3"/>
      <c r="X2" s="3"/>
      <c r="Y2" s="3"/>
      <c r="Z2" s="3"/>
      <c r="AA2" s="3"/>
      <c r="AB2" s="3"/>
      <c r="AC2" s="3"/>
      <c r="AD2" s="3"/>
      <c r="AE2" s="3"/>
      <c r="AF2" s="3"/>
      <c r="AG2" s="3"/>
      <c r="AH2" s="3"/>
    </row>
    <row r="3" spans="1:34" ht="11.25" customHeight="1">
      <c r="A3" s="3"/>
      <c r="B3" s="10"/>
      <c r="C3" s="10"/>
      <c r="D3" s="10"/>
      <c r="E3" s="10"/>
      <c r="F3" s="10"/>
      <c r="G3" s="10"/>
      <c r="H3" s="10"/>
      <c r="I3" s="10"/>
      <c r="J3" s="10"/>
      <c r="K3" s="10"/>
      <c r="L3" s="10"/>
      <c r="M3" s="10"/>
      <c r="N3" s="10"/>
      <c r="O3" s="10"/>
      <c r="P3" s="8"/>
      <c r="Q3" s="154"/>
      <c r="R3" s="154"/>
      <c r="S3" s="69"/>
      <c r="T3" s="69"/>
      <c r="U3" s="69"/>
      <c r="V3" s="3"/>
      <c r="W3" s="3"/>
      <c r="X3" s="3"/>
      <c r="Y3" s="3"/>
      <c r="Z3" s="3"/>
      <c r="AA3" s="3"/>
      <c r="AB3" s="3"/>
      <c r="AC3" s="3"/>
      <c r="AD3" s="3"/>
      <c r="AE3" s="3"/>
      <c r="AF3" s="3"/>
      <c r="AG3" s="3"/>
      <c r="AH3" s="3"/>
    </row>
    <row r="4" spans="1:34" ht="15" customHeight="1">
      <c r="A4" s="3"/>
      <c r="B4" s="11"/>
      <c r="C4" s="12"/>
      <c r="D4" s="12"/>
      <c r="E4" s="12"/>
      <c r="F4" s="12"/>
      <c r="G4" s="12"/>
      <c r="H4" s="12"/>
      <c r="I4" s="12"/>
      <c r="J4" s="12"/>
      <c r="K4" s="12"/>
      <c r="L4" s="12"/>
      <c r="M4" s="12"/>
      <c r="N4" s="12"/>
      <c r="O4" s="12"/>
      <c r="P4" s="13"/>
      <c r="Q4" s="154"/>
      <c r="R4" s="154"/>
      <c r="S4" s="69"/>
      <c r="T4" s="69"/>
      <c r="U4" s="69"/>
      <c r="V4" s="3"/>
      <c r="W4" s="3"/>
      <c r="X4" s="3"/>
      <c r="Y4" s="3"/>
      <c r="Z4" s="3"/>
      <c r="AA4" s="3"/>
      <c r="AB4" s="3"/>
      <c r="AC4" s="3"/>
      <c r="AD4" s="3"/>
      <c r="AE4" s="3"/>
      <c r="AF4" s="3"/>
      <c r="AG4" s="3"/>
      <c r="AH4" s="3"/>
    </row>
    <row r="5" spans="1:34" ht="22.5" customHeight="1">
      <c r="A5" s="3"/>
      <c r="B5" s="107"/>
      <c r="C5" s="25" t="s">
        <v>3</v>
      </c>
      <c r="D5" s="15"/>
      <c r="E5" s="258" t="s">
        <v>83</v>
      </c>
      <c r="F5" s="259"/>
      <c r="G5" s="259"/>
      <c r="H5" s="260"/>
      <c r="I5" s="16"/>
      <c r="J5" s="25" t="s">
        <v>65</v>
      </c>
      <c r="K5" s="16"/>
      <c r="M5" s="261">
        <f>IF(Übersicht!M5&lt;&gt;"",Übersicht!M5,"")</f>
        <v>419510</v>
      </c>
      <c r="N5" s="262"/>
      <c r="O5" s="263"/>
      <c r="P5" s="17"/>
      <c r="Q5" s="155"/>
      <c r="R5" s="155"/>
      <c r="S5" s="68"/>
      <c r="T5" s="68"/>
      <c r="V5" s="3"/>
      <c r="W5" s="3"/>
      <c r="X5" s="3"/>
      <c r="Y5" s="3"/>
      <c r="Z5" s="3"/>
      <c r="AA5" s="3"/>
      <c r="AB5" s="3"/>
      <c r="AC5" s="3"/>
      <c r="AD5" s="3"/>
      <c r="AE5" s="3"/>
      <c r="AF5" s="3"/>
      <c r="AG5" s="3"/>
      <c r="AH5" s="3"/>
    </row>
    <row r="6" spans="1:34" ht="15">
      <c r="A6" s="3"/>
      <c r="B6" s="18"/>
      <c r="C6" s="19"/>
      <c r="D6" s="19"/>
      <c r="E6" s="19"/>
      <c r="F6" s="19"/>
      <c r="G6" s="20"/>
      <c r="H6" s="20"/>
      <c r="I6" s="16"/>
      <c r="J6" s="16"/>
      <c r="P6" s="23"/>
      <c r="Q6" s="156"/>
      <c r="R6" s="156"/>
      <c r="V6" s="3"/>
      <c r="W6" s="3"/>
      <c r="X6" s="3"/>
      <c r="Y6" s="3"/>
      <c r="Z6" s="3"/>
      <c r="AA6" s="3"/>
      <c r="AB6" s="3"/>
      <c r="AC6" s="3"/>
      <c r="AD6" s="3"/>
      <c r="AE6" s="3"/>
      <c r="AF6" s="3"/>
      <c r="AG6" s="3"/>
      <c r="AH6" s="3"/>
    </row>
    <row r="7" spans="1:34" ht="22.5" customHeight="1">
      <c r="A7" s="3"/>
      <c r="B7" s="107"/>
      <c r="C7" s="25" t="s">
        <v>7</v>
      </c>
      <c r="D7" s="16"/>
      <c r="E7" s="258" t="str">
        <f>IF(Übersicht!E7&lt;&gt;"",Übersicht!E7,"")</f>
        <v>Hiwi</v>
      </c>
      <c r="F7" s="259"/>
      <c r="G7" s="259"/>
      <c r="H7" s="260"/>
      <c r="I7" s="16"/>
      <c r="J7" s="25" t="s">
        <v>74</v>
      </c>
      <c r="K7" s="16"/>
      <c r="M7" s="272">
        <f>IF(Übersicht!M7&lt;&gt;"",Übersicht!M7,0)</f>
        <v>0</v>
      </c>
      <c r="N7" s="273"/>
      <c r="O7" s="274"/>
      <c r="P7" s="23"/>
      <c r="Q7" s="156"/>
      <c r="R7" s="6" t="s">
        <v>81</v>
      </c>
      <c r="S7" s="211" t="b">
        <f>OR(IF(E7&gt;"",IF(MID(E7,LEN(E7)-1,2)="WE","WAHR",FALSE),FALSE),IF(E7&gt;"",IF(MID(E7,LEN(E7)-2,3)="WEF","WAHR",FALSE),FALSE))</f>
        <v>0</v>
      </c>
      <c r="V7" s="3"/>
      <c r="W7" s="3"/>
      <c r="X7" s="3"/>
      <c r="Y7" s="3"/>
      <c r="Z7" s="3"/>
      <c r="AA7" s="3"/>
      <c r="AB7" s="3"/>
      <c r="AC7" s="3"/>
      <c r="AD7" s="3"/>
      <c r="AE7" s="3"/>
      <c r="AF7" s="3"/>
      <c r="AG7" s="3"/>
      <c r="AH7" s="3"/>
    </row>
    <row r="8" spans="1:34" ht="22.5" customHeight="1">
      <c r="A8" s="3"/>
      <c r="B8" s="186"/>
      <c r="C8" s="187"/>
      <c r="D8" s="187"/>
      <c r="E8" s="187"/>
      <c r="F8" s="188"/>
      <c r="G8" s="189"/>
      <c r="H8" s="189"/>
      <c r="I8" s="189"/>
      <c r="J8" s="61"/>
      <c r="K8" s="61"/>
      <c r="L8" s="61"/>
      <c r="M8" s="61"/>
      <c r="N8" s="61"/>
      <c r="O8" s="61"/>
      <c r="P8" s="190"/>
      <c r="Q8" s="156"/>
      <c r="R8" s="6" t="s">
        <v>82</v>
      </c>
      <c r="S8" s="211" t="b">
        <f>IF(E7&gt;"",IF(MID(E7,LEN(E7)-2,3)="WEF","WAHR",FALSE),FALSE)</f>
        <v>0</v>
      </c>
      <c r="V8" s="3"/>
      <c r="W8" s="3"/>
      <c r="X8" s="3"/>
      <c r="Y8" s="3"/>
      <c r="Z8" s="3"/>
      <c r="AA8" s="3"/>
      <c r="AB8" s="3"/>
      <c r="AC8" s="3"/>
      <c r="AD8" s="3"/>
      <c r="AE8" s="3"/>
      <c r="AF8" s="3"/>
      <c r="AG8" s="3"/>
      <c r="AH8" s="3"/>
    </row>
    <row r="9" spans="1:34" ht="22.5" customHeight="1">
      <c r="A9" s="3"/>
      <c r="B9" s="107"/>
      <c r="C9" s="25" t="s">
        <v>73</v>
      </c>
      <c r="D9" s="16"/>
      <c r="E9" s="254" t="str">
        <f>IF(Übersicht!E11&lt;&gt;"",Übersicht!E11,"")</f>
        <v>Innogy Abwasser</v>
      </c>
      <c r="F9" s="255"/>
      <c r="G9" s="255"/>
      <c r="H9" s="255"/>
      <c r="I9" s="255"/>
      <c r="J9" s="255"/>
      <c r="K9" s="255"/>
      <c r="L9" s="255"/>
      <c r="M9" s="255"/>
      <c r="N9" s="255"/>
      <c r="O9" s="256"/>
      <c r="P9" s="23"/>
      <c r="Q9" s="156"/>
      <c r="R9" s="156"/>
      <c r="V9" s="3"/>
      <c r="W9" s="3"/>
      <c r="X9" s="3"/>
      <c r="Y9" s="3"/>
      <c r="Z9" s="3"/>
      <c r="AA9" s="3"/>
      <c r="AB9" s="3"/>
      <c r="AC9" s="3"/>
      <c r="AD9" s="3"/>
      <c r="AE9" s="3"/>
      <c r="AF9" s="3"/>
      <c r="AG9" s="3"/>
      <c r="AH9" s="3"/>
    </row>
    <row r="10" spans="1:34" ht="15">
      <c r="A10" s="3"/>
      <c r="B10" s="14"/>
      <c r="C10" s="25"/>
      <c r="D10" s="25"/>
      <c r="E10" s="25"/>
      <c r="F10" s="19"/>
      <c r="G10" s="26"/>
      <c r="H10" s="26"/>
      <c r="I10" s="26"/>
      <c r="P10" s="23"/>
      <c r="Q10" s="157"/>
      <c r="R10" s="157"/>
      <c r="S10" s="68"/>
      <c r="T10" s="68"/>
      <c r="U10" s="68"/>
      <c r="V10" s="3"/>
      <c r="W10" s="3"/>
      <c r="X10" s="3"/>
      <c r="Y10" s="3"/>
      <c r="Z10" s="3"/>
      <c r="AA10" s="3"/>
      <c r="AB10" s="3"/>
      <c r="AC10" s="3"/>
      <c r="AD10" s="3"/>
      <c r="AE10" s="3"/>
      <c r="AF10" s="3"/>
      <c r="AG10" s="3"/>
      <c r="AH10" s="3"/>
    </row>
    <row r="11" spans="1:34" ht="15" customHeight="1">
      <c r="A11" s="3"/>
      <c r="B11" s="112"/>
      <c r="C11" s="113"/>
      <c r="D11" s="114"/>
      <c r="E11" s="114"/>
      <c r="F11" s="115"/>
      <c r="G11" s="115"/>
      <c r="H11" s="116" t="s">
        <v>42</v>
      </c>
      <c r="I11" s="117" t="s">
        <v>12</v>
      </c>
      <c r="J11" s="118" t="s">
        <v>13</v>
      </c>
      <c r="K11" s="119" t="s">
        <v>14</v>
      </c>
      <c r="L11" s="117" t="s">
        <v>15</v>
      </c>
      <c r="M11" s="117" t="s">
        <v>16</v>
      </c>
      <c r="N11" s="120"/>
      <c r="O11" s="150"/>
      <c r="P11" s="23"/>
      <c r="Q11" s="156"/>
      <c r="R11" s="156"/>
      <c r="V11" s="3"/>
      <c r="W11" s="3"/>
      <c r="X11" s="3"/>
      <c r="Y11" s="3"/>
      <c r="Z11" s="3"/>
      <c r="AA11" s="3"/>
      <c r="AB11" s="3"/>
      <c r="AC11" s="3"/>
      <c r="AD11" s="3"/>
      <c r="AE11" s="3"/>
      <c r="AF11" s="3"/>
      <c r="AG11" s="3"/>
      <c r="AH11" s="3"/>
    </row>
    <row r="12" spans="1:34" ht="22.5" customHeight="1">
      <c r="A12" s="3"/>
      <c r="B12" s="112"/>
      <c r="C12" s="14" t="s">
        <v>30</v>
      </c>
      <c r="D12" s="21"/>
      <c r="E12" s="22"/>
      <c r="F12" s="152">
        <v>0</v>
      </c>
      <c r="G12" s="92"/>
      <c r="H12" s="121" t="s">
        <v>43</v>
      </c>
      <c r="I12" s="122">
        <f>$F$12/5</f>
        <v>0</v>
      </c>
      <c r="J12" s="123">
        <f>$F$12/5</f>
        <v>0</v>
      </c>
      <c r="K12" s="123">
        <f>$F$12/5</f>
        <v>0</v>
      </c>
      <c r="L12" s="123">
        <f>$F$12/5</f>
        <v>0</v>
      </c>
      <c r="M12" s="124">
        <f>$F$12/5</f>
        <v>0</v>
      </c>
      <c r="N12" s="125" t="s">
        <v>45</v>
      </c>
      <c r="O12" s="150"/>
      <c r="P12" s="23"/>
      <c r="Q12" s="156"/>
      <c r="R12" s="156"/>
      <c r="V12" s="3"/>
      <c r="W12" s="3"/>
      <c r="X12" s="3"/>
      <c r="Y12" s="3"/>
      <c r="Z12" s="3"/>
      <c r="AA12" s="3"/>
      <c r="AB12" s="3"/>
      <c r="AC12" s="3"/>
      <c r="AD12" s="3"/>
      <c r="AE12" s="3"/>
      <c r="AF12" s="3"/>
      <c r="AG12" s="3"/>
      <c r="AH12" s="3"/>
    </row>
    <row r="13" spans="1:34" ht="22.5" customHeight="1">
      <c r="A13" s="3"/>
      <c r="B13" s="112"/>
      <c r="C13" s="126"/>
      <c r="D13" s="151"/>
      <c r="E13" s="151"/>
      <c r="F13" s="127"/>
      <c r="G13" s="127"/>
      <c r="H13" s="128" t="s">
        <v>44</v>
      </c>
      <c r="I13" s="108"/>
      <c r="J13" s="109"/>
      <c r="K13" s="109"/>
      <c r="L13" s="109"/>
      <c r="M13" s="110"/>
      <c r="N13" s="88">
        <f>SUM(I13:M13)</f>
        <v>0</v>
      </c>
      <c r="O13" s="150"/>
      <c r="P13" s="23"/>
      <c r="Q13" s="156"/>
      <c r="R13" s="156"/>
      <c r="V13" s="3"/>
      <c r="W13" s="3"/>
      <c r="X13" s="3"/>
      <c r="Y13" s="3"/>
      <c r="Z13" s="3"/>
      <c r="AA13" s="3"/>
      <c r="AB13" s="3"/>
      <c r="AC13" s="3"/>
      <c r="AD13" s="3"/>
      <c r="AE13" s="3"/>
      <c r="AF13" s="3"/>
      <c r="AG13" s="3"/>
      <c r="AH13" s="3"/>
    </row>
    <row r="14" spans="1:34" ht="18.75" customHeight="1">
      <c r="A14" s="3"/>
      <c r="B14" s="112"/>
      <c r="C14" s="149" t="s">
        <v>80</v>
      </c>
      <c r="D14" s="25"/>
      <c r="E14" s="27"/>
      <c r="F14" s="7"/>
      <c r="G14" s="7"/>
      <c r="O14" s="150"/>
      <c r="P14" s="23"/>
      <c r="Q14" s="156"/>
      <c r="R14" s="156"/>
      <c r="V14" s="3"/>
      <c r="W14" s="3"/>
      <c r="X14" s="3"/>
      <c r="Y14" s="3"/>
      <c r="Z14" s="3"/>
      <c r="AA14" s="3"/>
      <c r="AB14" s="3"/>
      <c r="AC14" s="3"/>
      <c r="AD14" s="3"/>
      <c r="AE14" s="3"/>
      <c r="AF14" s="3"/>
      <c r="AG14" s="3"/>
      <c r="AH14" s="3"/>
    </row>
    <row r="15" spans="1:34" ht="15" customHeight="1">
      <c r="A15" s="3"/>
      <c r="B15" s="112"/>
      <c r="C15" s="111"/>
      <c r="D15" s="129"/>
      <c r="E15" s="130"/>
      <c r="F15" s="130"/>
      <c r="G15" s="131"/>
      <c r="H15" s="132" t="s">
        <v>49</v>
      </c>
      <c r="I15" s="133" t="s">
        <v>12</v>
      </c>
      <c r="J15" s="134" t="s">
        <v>13</v>
      </c>
      <c r="K15" s="135" t="s">
        <v>14</v>
      </c>
      <c r="L15" s="133" t="s">
        <v>15</v>
      </c>
      <c r="M15" s="133" t="s">
        <v>16</v>
      </c>
      <c r="N15" s="136"/>
      <c r="O15" s="150"/>
      <c r="P15" s="23"/>
      <c r="Q15" s="156"/>
      <c r="R15" s="156"/>
      <c r="V15" s="3"/>
      <c r="W15" s="3"/>
      <c r="X15" s="3"/>
      <c r="Y15" s="3"/>
      <c r="Z15" s="3"/>
      <c r="AA15" s="3"/>
      <c r="AB15" s="3"/>
      <c r="AC15" s="3"/>
      <c r="AD15" s="3"/>
      <c r="AE15" s="3"/>
      <c r="AF15" s="3"/>
      <c r="AG15" s="3"/>
      <c r="AH15" s="3"/>
    </row>
    <row r="16" spans="1:34" ht="23.25" customHeight="1">
      <c r="A16" s="3"/>
      <c r="B16" s="112"/>
      <c r="C16" s="147" t="s">
        <v>48</v>
      </c>
      <c r="D16" s="148"/>
      <c r="E16" s="148"/>
      <c r="F16" s="152"/>
      <c r="G16" s="137"/>
      <c r="H16" s="138" t="s">
        <v>43</v>
      </c>
      <c r="I16" s="139">
        <f>$F$16/5</f>
        <v>0</v>
      </c>
      <c r="J16" s="140">
        <f>$F$16/5</f>
        <v>0</v>
      </c>
      <c r="K16" s="140">
        <f>$F$16/5</f>
        <v>0</v>
      </c>
      <c r="L16" s="140">
        <f>$F$16/5</f>
        <v>0</v>
      </c>
      <c r="M16" s="141">
        <f>$F$16/5</f>
        <v>0</v>
      </c>
      <c r="N16" s="142" t="s">
        <v>45</v>
      </c>
      <c r="O16" s="150"/>
      <c r="P16" s="23"/>
      <c r="Q16" s="156"/>
      <c r="R16" s="156"/>
      <c r="V16" s="3"/>
      <c r="W16" s="3"/>
      <c r="X16" s="3"/>
      <c r="Y16" s="3"/>
      <c r="Z16" s="3"/>
      <c r="AA16" s="3"/>
      <c r="AB16" s="3"/>
      <c r="AC16" s="3"/>
      <c r="AD16" s="3"/>
      <c r="AE16" s="3"/>
      <c r="AF16" s="3"/>
      <c r="AG16" s="3"/>
      <c r="AH16" s="3"/>
    </row>
    <row r="17" spans="1:252" ht="22.5" customHeight="1">
      <c r="A17" s="3"/>
      <c r="B17" s="112"/>
      <c r="C17" s="143" t="s">
        <v>47</v>
      </c>
      <c r="D17" s="144"/>
      <c r="E17" s="279"/>
      <c r="F17" s="279"/>
      <c r="G17" s="153" t="b">
        <f>IF($E$17&lt;&gt;0,TRUE(),FALSE())</f>
        <v>0</v>
      </c>
      <c r="H17" s="145" t="s">
        <v>44</v>
      </c>
      <c r="I17" s="108"/>
      <c r="J17" s="109"/>
      <c r="K17" s="109"/>
      <c r="L17" s="109"/>
      <c r="M17" s="110"/>
      <c r="N17" s="146">
        <f>SUM(I17:M17)</f>
        <v>0</v>
      </c>
      <c r="O17" s="150"/>
      <c r="P17" s="23"/>
      <c r="Q17" s="156"/>
      <c r="R17" s="156"/>
      <c r="V17" s="3"/>
      <c r="W17" s="3"/>
      <c r="X17" s="3"/>
      <c r="Y17" s="3"/>
      <c r="Z17" s="3"/>
      <c r="AA17" s="3"/>
      <c r="AB17" s="3"/>
      <c r="AC17" s="3"/>
      <c r="AD17" s="3"/>
      <c r="AE17" s="3"/>
      <c r="AF17" s="3"/>
      <c r="AG17" s="3"/>
      <c r="AH17" s="3"/>
    </row>
    <row r="18" spans="1:252" ht="15">
      <c r="A18" s="3"/>
      <c r="B18" s="85"/>
      <c r="C18" s="86"/>
      <c r="D18" s="87"/>
      <c r="E18" s="87"/>
      <c r="F18" s="87"/>
      <c r="G18" s="87"/>
      <c r="H18" s="87"/>
      <c r="I18" s="87"/>
      <c r="J18" s="87"/>
      <c r="K18" s="9"/>
      <c r="L18" s="9"/>
      <c r="M18" s="9"/>
      <c r="N18" s="9"/>
      <c r="O18" s="9"/>
      <c r="P18" s="28"/>
      <c r="Q18" s="156"/>
      <c r="R18" s="156"/>
      <c r="V18" s="3"/>
      <c r="W18" s="3"/>
      <c r="X18" s="3"/>
      <c r="Y18" s="3"/>
      <c r="Z18" s="3"/>
      <c r="AA18" s="3"/>
      <c r="AB18" s="3"/>
      <c r="AC18" s="3"/>
      <c r="AD18" s="3"/>
      <c r="AE18" s="3"/>
      <c r="AF18" s="3"/>
      <c r="AG18" s="3"/>
      <c r="AH18" s="3"/>
    </row>
    <row r="19" spans="1:252" ht="15.75" thickBot="1">
      <c r="A19" s="29"/>
      <c r="B19" s="164"/>
      <c r="C19" s="68"/>
      <c r="D19" s="68"/>
      <c r="E19" s="68"/>
      <c r="F19" s="68"/>
      <c r="G19" s="68"/>
      <c r="H19" s="68"/>
      <c r="I19" s="68"/>
      <c r="J19" s="68"/>
      <c r="K19" s="68"/>
      <c r="L19" s="68"/>
      <c r="M19" s="68"/>
      <c r="N19" s="68"/>
      <c r="O19" s="68"/>
      <c r="P19" s="68"/>
      <c r="Q19" s="157"/>
      <c r="R19" s="157"/>
      <c r="S19" s="68"/>
      <c r="T19" s="68"/>
      <c r="U19" s="68"/>
    </row>
    <row r="20" spans="1:252" s="4" customFormat="1" ht="18.75" customHeight="1">
      <c r="A20" s="30"/>
      <c r="B20" s="168"/>
      <c r="C20" s="264" t="s">
        <v>29</v>
      </c>
      <c r="D20" s="265"/>
      <c r="E20" s="265"/>
      <c r="F20" s="266" t="s">
        <v>67</v>
      </c>
      <c r="G20" s="267"/>
      <c r="H20" s="268"/>
      <c r="I20" s="269" t="s">
        <v>25</v>
      </c>
      <c r="J20" s="269"/>
      <c r="K20" s="270"/>
      <c r="L20" s="271"/>
      <c r="M20" s="269"/>
      <c r="N20" s="269"/>
      <c r="O20" s="269"/>
      <c r="P20" s="270"/>
      <c r="Q20" s="158"/>
      <c r="R20" s="158"/>
      <c r="S20" s="70" t="s">
        <v>22</v>
      </c>
      <c r="T20" s="70" t="s">
        <v>23</v>
      </c>
      <c r="U20" s="70" t="s">
        <v>23</v>
      </c>
      <c r="V20" s="71" t="s">
        <v>24</v>
      </c>
      <c r="W20" s="71" t="s">
        <v>22</v>
      </c>
      <c r="X20" s="71" t="s">
        <v>22</v>
      </c>
      <c r="Y20" s="71"/>
      <c r="Z20" s="71"/>
      <c r="AA20" s="70"/>
      <c r="AB20" s="70"/>
      <c r="AC20" s="71"/>
      <c r="AD20" s="97"/>
      <c r="AE20" s="97"/>
      <c r="AF20" s="98"/>
      <c r="AG20" s="98"/>
      <c r="AH20" s="98"/>
    </row>
    <row r="21" spans="1:252" ht="18.75" customHeight="1">
      <c r="A21" s="31">
        <f>DATEVALUE(I2&amp;K2)</f>
        <v>42736</v>
      </c>
      <c r="B21" s="169" t="s">
        <v>0</v>
      </c>
      <c r="C21" s="1" t="s">
        <v>8</v>
      </c>
      <c r="D21" s="5"/>
      <c r="E21" s="171" t="s">
        <v>18</v>
      </c>
      <c r="F21" s="173" t="s">
        <v>1</v>
      </c>
      <c r="G21" s="174" t="s">
        <v>6</v>
      </c>
      <c r="H21" s="175" t="s">
        <v>2</v>
      </c>
      <c r="I21" s="170" t="s">
        <v>17</v>
      </c>
      <c r="J21" s="2" t="s">
        <v>21</v>
      </c>
      <c r="K21" s="170" t="s">
        <v>19</v>
      </c>
      <c r="L21" s="275" t="s">
        <v>71</v>
      </c>
      <c r="M21" s="276"/>
      <c r="N21" s="276"/>
      <c r="O21" s="276"/>
      <c r="P21" s="277"/>
      <c r="Q21" s="159"/>
      <c r="R21" s="159"/>
      <c r="S21" s="72" t="s">
        <v>11</v>
      </c>
      <c r="T21" s="72" t="s">
        <v>1</v>
      </c>
      <c r="U21" s="72" t="s">
        <v>6</v>
      </c>
      <c r="V21" s="73" t="s">
        <v>2</v>
      </c>
      <c r="W21" s="73" t="s">
        <v>20</v>
      </c>
      <c r="X21" s="74" t="s">
        <v>21</v>
      </c>
      <c r="Y21" s="73" t="s">
        <v>19</v>
      </c>
      <c r="Z21" s="75"/>
    </row>
    <row r="22" spans="1:252" ht="20.25" customHeight="1">
      <c r="A22" s="32" t="str">
        <f t="shared" ref="A22:A52" si="0">TEXT(B22,"TTTT")</f>
        <v>Sonntag</v>
      </c>
      <c r="B22" s="33">
        <f>($A$21+ROW(B1)-1)*(MONTH($A$21+1)=MONTH($A$21))</f>
        <v>42736</v>
      </c>
      <c r="C22" s="185" t="str">
        <f>IF(OR(A22="Samstag",A22="Sonntag"),"",IF(COUNTIF(Übersicht!C$16:C$30,B22)&gt;0,"BA",""))</f>
        <v/>
      </c>
      <c r="D22" s="34"/>
      <c r="E22" s="172" t="str">
        <f>IF(OR(A22="Samstag",A22="Sonntag",C22="BA"),"",
IF(C22="SV",D22,
IF(OR($E$17="",B22&lt;$E$17),IF($N$13=0,HLOOKUP($A22,$I$11:$M$12,2,FALSE),IF($N$13=$F$12,HLOOKUP($A22,$I$11:$M$13,3,FALSE),"FEHLER")),
IF($N$17=0,HLOOKUP($A22,$I$15:$M$16,2,FALSE),IF($N$17=$F$16,HLOOKUP($A22,$I$15:$M$17,3,FALSE),"FEHLER")))))</f>
        <v/>
      </c>
      <c r="F22" s="176"/>
      <c r="G22" s="177"/>
      <c r="H22" s="178"/>
      <c r="I22" s="38">
        <f t="shared" ref="I22:I52" si="1">IF(OR(C22="K",C22="U",C22="F"),E22,IF(C22="SU",IF(H22="",D22,((H22-F22)-G22)+D22),IF(AND(H22="",E22=""),0,((H22-F22)-G22)*24)))</f>
        <v>0</v>
      </c>
      <c r="J22" s="35">
        <f>IF(E22="Fehler",0,IF(E22="",I22,I22-E22))</f>
        <v>0</v>
      </c>
      <c r="K22" s="36">
        <f>M7+J22</f>
        <v>0</v>
      </c>
      <c r="L22" s="251"/>
      <c r="M22" s="252"/>
      <c r="N22" s="252"/>
      <c r="O22" s="252"/>
      <c r="P22" s="253"/>
      <c r="Q22" s="89"/>
      <c r="R22" s="213"/>
      <c r="S22" s="76"/>
      <c r="T22" s="76"/>
      <c r="U22" s="76"/>
      <c r="V22" s="76"/>
      <c r="W22" s="76"/>
      <c r="X22" s="76"/>
      <c r="Y22" s="76"/>
      <c r="Z22" s="76"/>
      <c r="AB22" s="166"/>
      <c r="AE22" s="99"/>
    </row>
    <row r="23" spans="1:252" s="96" customFormat="1" ht="20.25" customHeight="1">
      <c r="A23" s="32" t="str">
        <f t="shared" si="0"/>
        <v>Montag</v>
      </c>
      <c r="B23" s="37">
        <f t="shared" ref="B23:B28" si="2">($A$21+ROW(B2)-1)*(MONTH(B22+1)=MONTH($A$21))</f>
        <v>42737</v>
      </c>
      <c r="C23" s="185" t="str">
        <f>IF(OR(A23="Samstag",A23="Sonntag"),"",IF(COUNTIF(Übersicht!C$16:C$30,B23)&gt;0,"BA",""))</f>
        <v/>
      </c>
      <c r="D23" s="38"/>
      <c r="E23" s="172">
        <f>IF(OR(A23="Samstag",A23="Sonntag",C23="BA"),"",
IF(C23="SV",D23,
IF(OR($E$17="",B23&lt;$E$17),IF($N$13=0,HLOOKUP($A23,$I$11:$M$12,2,FALSE),IF($N$13=$F$12,HLOOKUP($A23,$I$11:$M$13,3,FALSE),"FEHLER")),
IF($N$17=0,HLOOKUP($A23,$I$15:$M$16,2,FALSE),IF($N$17=$F$16,HLOOKUP($A23,$I$15:$M$17,3,FALSE),"FEHLER")))))</f>
        <v>0</v>
      </c>
      <c r="F23" s="176"/>
      <c r="G23" s="177"/>
      <c r="H23" s="178"/>
      <c r="I23" s="38">
        <f t="shared" si="1"/>
        <v>0</v>
      </c>
      <c r="J23" s="35">
        <f t="shared" ref="J23:J52" si="3">IF(E23="Fehler",0,IF(E23="",I23,I23-E23))</f>
        <v>0</v>
      </c>
      <c r="K23" s="36">
        <f>SUM(K22,J23)</f>
        <v>0</v>
      </c>
      <c r="L23" s="251"/>
      <c r="M23" s="252"/>
      <c r="N23" s="252"/>
      <c r="O23" s="252"/>
      <c r="P23" s="253"/>
      <c r="Q23" s="89"/>
      <c r="R23" s="210"/>
      <c r="S23" s="76"/>
      <c r="T23" s="76"/>
      <c r="U23" s="76"/>
      <c r="V23" s="76"/>
      <c r="W23" s="76"/>
      <c r="X23" s="76"/>
      <c r="Y23" s="76"/>
      <c r="Z23" s="76"/>
      <c r="AA23" s="68"/>
      <c r="AB23" s="166"/>
      <c r="AC23" s="6"/>
      <c r="AD23" s="95"/>
      <c r="AE23" s="99"/>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row>
    <row r="24" spans="1:252" s="96" customFormat="1" ht="20.25" customHeight="1">
      <c r="A24" s="32" t="str">
        <f t="shared" si="0"/>
        <v>Dienstag</v>
      </c>
      <c r="B24" s="37">
        <f t="shared" si="2"/>
        <v>42738</v>
      </c>
      <c r="C24" s="185" t="str">
        <f>IF(OR(A24="Samstag",A24="Sonntag"),"",IF(COUNTIF(Übersicht!C$16:C$30,B24)&gt;0,"BA",""))</f>
        <v/>
      </c>
      <c r="D24" s="38"/>
      <c r="E24" s="172">
        <f t="shared" ref="E24:E52" si="4">IF(OR(A24="Samstag",A24="Sonntag",C24="BA"),"",
IF(C24="SV",D24,
IF(OR($E$17="",B24&lt;$E$17),IF($N$13=0,HLOOKUP($A24,$I$11:$M$12,2,FALSE),IF($N$13=$F$12,HLOOKUP($A24,$I$11:$M$13,3,FALSE),"FEHLER")),
IF($N$17=0,HLOOKUP($A24,$I$15:$M$16,2,FALSE),IF($N$17=$F$16,HLOOKUP($A24,$I$15:$M$17,3,FALSE),"FEHLER")))))</f>
        <v>0</v>
      </c>
      <c r="F24" s="176"/>
      <c r="G24" s="177"/>
      <c r="H24" s="178"/>
      <c r="I24" s="38">
        <f t="shared" si="1"/>
        <v>0</v>
      </c>
      <c r="J24" s="35">
        <f t="shared" si="3"/>
        <v>0</v>
      </c>
      <c r="K24" s="36">
        <f t="shared" ref="K24:K52" si="5">SUM(K23,J24)</f>
        <v>0</v>
      </c>
      <c r="L24" s="251"/>
      <c r="M24" s="252"/>
      <c r="N24" s="252"/>
      <c r="O24" s="252"/>
      <c r="P24" s="253"/>
      <c r="Q24" s="89"/>
      <c r="R24" s="210"/>
      <c r="S24" s="76"/>
      <c r="T24" s="76"/>
      <c r="U24" s="76"/>
      <c r="V24" s="76"/>
      <c r="W24" s="76"/>
      <c r="X24" s="76"/>
      <c r="Y24" s="76"/>
      <c r="Z24" s="76"/>
      <c r="AA24" s="68"/>
      <c r="AB24" s="166"/>
      <c r="AC24" s="6"/>
      <c r="AD24" s="95"/>
      <c r="AE24" s="99"/>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row>
    <row r="25" spans="1:252" s="96" customFormat="1" ht="20.25" customHeight="1">
      <c r="A25" s="32" t="str">
        <f t="shared" si="0"/>
        <v>Mittwoch</v>
      </c>
      <c r="B25" s="37">
        <f t="shared" si="2"/>
        <v>42739</v>
      </c>
      <c r="C25" s="185" t="str">
        <f>IF(OR(A25="Samstag",A25="Sonntag"),"",IF(COUNTIF(Übersicht!C$16:C$30,B25)&gt;0,"BA",""))</f>
        <v/>
      </c>
      <c r="D25" s="38"/>
      <c r="E25" s="172">
        <f t="shared" si="4"/>
        <v>0</v>
      </c>
      <c r="F25" s="176"/>
      <c r="G25" s="177"/>
      <c r="H25" s="178"/>
      <c r="I25" s="38">
        <f t="shared" si="1"/>
        <v>0</v>
      </c>
      <c r="J25" s="35">
        <f t="shared" si="3"/>
        <v>0</v>
      </c>
      <c r="K25" s="36">
        <f t="shared" si="5"/>
        <v>0</v>
      </c>
      <c r="L25" s="251"/>
      <c r="M25" s="252"/>
      <c r="N25" s="252"/>
      <c r="O25" s="252"/>
      <c r="P25" s="253"/>
      <c r="Q25" s="89"/>
      <c r="R25" s="210"/>
      <c r="S25" s="76"/>
      <c r="T25" s="76"/>
      <c r="U25" s="76"/>
      <c r="V25" s="76"/>
      <c r="W25" s="76"/>
      <c r="X25" s="76"/>
      <c r="Y25" s="76"/>
      <c r="Z25" s="76"/>
      <c r="AA25" s="68"/>
      <c r="AB25" s="166"/>
      <c r="AC25" s="6"/>
      <c r="AD25" s="95"/>
      <c r="AE25" s="99"/>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row>
    <row r="26" spans="1:252" s="96" customFormat="1" ht="20.25" customHeight="1">
      <c r="A26" s="32" t="str">
        <f t="shared" si="0"/>
        <v>Donnerstag</v>
      </c>
      <c r="B26" s="37">
        <f t="shared" si="2"/>
        <v>42740</v>
      </c>
      <c r="C26" s="185" t="str">
        <f>IF(OR(A26="Samstag",A26="Sonntag"),"",IF(COUNTIF(Übersicht!C$16:C$30,B26)&gt;0,"BA",""))</f>
        <v/>
      </c>
      <c r="D26" s="38"/>
      <c r="E26" s="172">
        <f t="shared" si="4"/>
        <v>0</v>
      </c>
      <c r="F26" s="176"/>
      <c r="G26" s="177"/>
      <c r="H26" s="178"/>
      <c r="I26" s="38">
        <f t="shared" si="1"/>
        <v>0</v>
      </c>
      <c r="J26" s="35">
        <f t="shared" si="3"/>
        <v>0</v>
      </c>
      <c r="K26" s="36">
        <f t="shared" si="5"/>
        <v>0</v>
      </c>
      <c r="L26" s="251"/>
      <c r="M26" s="252"/>
      <c r="N26" s="252"/>
      <c r="O26" s="252"/>
      <c r="P26" s="253"/>
      <c r="Q26" s="89"/>
      <c r="R26" s="210"/>
      <c r="S26" s="76"/>
      <c r="T26" s="76"/>
      <c r="U26" s="76"/>
      <c r="V26" s="76"/>
      <c r="W26" s="76"/>
      <c r="X26" s="76"/>
      <c r="Y26" s="76"/>
      <c r="Z26" s="76"/>
      <c r="AA26" s="68"/>
      <c r="AB26" s="166"/>
      <c r="AC26" s="6"/>
      <c r="AD26" s="95"/>
      <c r="AE26" s="99"/>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row>
    <row r="27" spans="1:252" s="96" customFormat="1" ht="20.25" customHeight="1">
      <c r="A27" s="32" t="str">
        <f t="shared" si="0"/>
        <v>Freitag</v>
      </c>
      <c r="B27" s="37">
        <f t="shared" si="2"/>
        <v>42741</v>
      </c>
      <c r="C27" s="185" t="str">
        <f>IF(OR(A27="Samstag",A27="Sonntag"),"",IF(COUNTIF(Übersicht!C$16:C$30,B27)&gt;0,"BA",""))</f>
        <v/>
      </c>
      <c r="D27" s="38"/>
      <c r="E27" s="172">
        <f t="shared" si="4"/>
        <v>0</v>
      </c>
      <c r="F27" s="176"/>
      <c r="G27" s="177"/>
      <c r="H27" s="178"/>
      <c r="I27" s="38">
        <f t="shared" si="1"/>
        <v>0</v>
      </c>
      <c r="J27" s="35">
        <f t="shared" si="3"/>
        <v>0</v>
      </c>
      <c r="K27" s="36">
        <f>SUM(K26,J27)</f>
        <v>0</v>
      </c>
      <c r="L27" s="251"/>
      <c r="M27" s="252"/>
      <c r="N27" s="252"/>
      <c r="O27" s="252"/>
      <c r="P27" s="253"/>
      <c r="Q27" s="89"/>
      <c r="R27" s="210"/>
      <c r="S27" s="76"/>
      <c r="T27" s="76"/>
      <c r="U27" s="76"/>
      <c r="V27" s="76"/>
      <c r="W27" s="76"/>
      <c r="X27" s="76"/>
      <c r="Y27" s="76"/>
      <c r="Z27" s="76"/>
      <c r="AA27" s="68"/>
      <c r="AB27" s="166"/>
      <c r="AC27" s="6"/>
      <c r="AD27" s="95"/>
      <c r="AE27" s="99"/>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row>
    <row r="28" spans="1:252" s="96" customFormat="1" ht="20.25" customHeight="1">
      <c r="A28" s="32" t="str">
        <f t="shared" si="0"/>
        <v>Samstag</v>
      </c>
      <c r="B28" s="37">
        <f t="shared" si="2"/>
        <v>42742</v>
      </c>
      <c r="C28" s="185" t="str">
        <f>IF(OR(A28="Samstag",A28="Sonntag"),"",IF(COUNTIF(Übersicht!C$16:C$30,B28)&gt;0,"BA",""))</f>
        <v/>
      </c>
      <c r="D28" s="38"/>
      <c r="E28" s="172" t="str">
        <f t="shared" si="4"/>
        <v/>
      </c>
      <c r="F28" s="176"/>
      <c r="G28" s="177"/>
      <c r="H28" s="178"/>
      <c r="I28" s="38">
        <f t="shared" si="1"/>
        <v>0</v>
      </c>
      <c r="J28" s="35">
        <f t="shared" si="3"/>
        <v>0</v>
      </c>
      <c r="K28" s="36">
        <f t="shared" si="5"/>
        <v>0</v>
      </c>
      <c r="L28" s="251"/>
      <c r="M28" s="252"/>
      <c r="N28" s="252"/>
      <c r="O28" s="252"/>
      <c r="P28" s="253"/>
      <c r="Q28" s="89"/>
      <c r="R28" s="210"/>
      <c r="S28" s="76"/>
      <c r="T28" s="76"/>
      <c r="U28" s="76"/>
      <c r="V28" s="76"/>
      <c r="W28" s="76"/>
      <c r="X28" s="76"/>
      <c r="Y28" s="76"/>
      <c r="Z28" s="76"/>
      <c r="AA28" s="68"/>
      <c r="AB28" s="166"/>
      <c r="AC28" s="6"/>
      <c r="AD28" s="95"/>
      <c r="AE28" s="99"/>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row>
    <row r="29" spans="1:252" s="96" customFormat="1" ht="20.25" customHeight="1">
      <c r="A29" s="32" t="str">
        <f t="shared" si="0"/>
        <v>Sonntag</v>
      </c>
      <c r="B29" s="37">
        <f t="shared" ref="B29:B52" si="6">($A$21+ROW(B8)-1)*(MONTH(B28+1)=MONTH($A$21))</f>
        <v>42743</v>
      </c>
      <c r="C29" s="185" t="str">
        <f>IF(OR(A29="Samstag",A29="Sonntag"),"",IF(COUNTIF(Übersicht!C$16:C$30,B29)&gt;0,"BA",""))</f>
        <v/>
      </c>
      <c r="D29" s="38"/>
      <c r="E29" s="172" t="str">
        <f t="shared" si="4"/>
        <v/>
      </c>
      <c r="F29" s="176"/>
      <c r="G29" s="177"/>
      <c r="H29" s="178"/>
      <c r="I29" s="38">
        <f t="shared" si="1"/>
        <v>0</v>
      </c>
      <c r="J29" s="35">
        <f t="shared" si="3"/>
        <v>0</v>
      </c>
      <c r="K29" s="36">
        <f t="shared" si="5"/>
        <v>0</v>
      </c>
      <c r="L29" s="251"/>
      <c r="M29" s="252"/>
      <c r="N29" s="252"/>
      <c r="O29" s="252"/>
      <c r="P29" s="253"/>
      <c r="Q29" s="89"/>
      <c r="R29" s="210"/>
      <c r="S29" s="76"/>
      <c r="T29" s="76"/>
      <c r="U29" s="76"/>
      <c r="V29" s="76"/>
      <c r="W29" s="76"/>
      <c r="X29" s="76"/>
      <c r="Y29" s="76"/>
      <c r="Z29" s="76"/>
      <c r="AA29" s="68"/>
      <c r="AB29" s="166"/>
      <c r="AC29" s="6"/>
      <c r="AD29" s="95"/>
      <c r="AE29" s="99"/>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row>
    <row r="30" spans="1:252" s="96" customFormat="1" ht="20.25" customHeight="1">
      <c r="A30" s="32" t="str">
        <f t="shared" si="0"/>
        <v>Montag</v>
      </c>
      <c r="B30" s="37">
        <f t="shared" si="6"/>
        <v>42744</v>
      </c>
      <c r="C30" s="185" t="str">
        <f>IF(OR(A30="Samstag",A30="Sonntag"),"",IF(COUNTIF(Übersicht!C$16:C$30,B30)&gt;0,"BA",""))</f>
        <v/>
      </c>
      <c r="D30" s="38"/>
      <c r="E30" s="172">
        <f t="shared" si="4"/>
        <v>0</v>
      </c>
      <c r="F30" s="176"/>
      <c r="G30" s="177"/>
      <c r="H30" s="178"/>
      <c r="I30" s="38">
        <f t="shared" si="1"/>
        <v>0</v>
      </c>
      <c r="J30" s="35">
        <f t="shared" si="3"/>
        <v>0</v>
      </c>
      <c r="K30" s="36">
        <f t="shared" si="5"/>
        <v>0</v>
      </c>
      <c r="L30" s="251"/>
      <c r="M30" s="252"/>
      <c r="N30" s="252"/>
      <c r="O30" s="252"/>
      <c r="P30" s="253"/>
      <c r="Q30" s="89"/>
      <c r="R30" s="210"/>
      <c r="S30" s="76"/>
      <c r="T30" s="76"/>
      <c r="U30" s="76"/>
      <c r="V30" s="76"/>
      <c r="W30" s="76"/>
      <c r="X30" s="76"/>
      <c r="Y30" s="76"/>
      <c r="Z30" s="76"/>
      <c r="AA30" s="68"/>
      <c r="AB30" s="166"/>
      <c r="AC30" s="6"/>
      <c r="AD30" s="95"/>
      <c r="AE30" s="99"/>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row>
    <row r="31" spans="1:252" s="96" customFormat="1" ht="20.25" customHeight="1">
      <c r="A31" s="32" t="str">
        <f t="shared" si="0"/>
        <v>Dienstag</v>
      </c>
      <c r="B31" s="37">
        <f t="shared" si="6"/>
        <v>42745</v>
      </c>
      <c r="C31" s="185" t="str">
        <f>IF(OR(A31="Samstag",A31="Sonntag"),"",IF(COUNTIF(Übersicht!C$16:C$30,B31)&gt;0,"BA",""))</f>
        <v/>
      </c>
      <c r="D31" s="38"/>
      <c r="E31" s="172">
        <f t="shared" si="4"/>
        <v>0</v>
      </c>
      <c r="F31" s="176"/>
      <c r="G31" s="177"/>
      <c r="H31" s="178"/>
      <c r="I31" s="38">
        <f t="shared" si="1"/>
        <v>0</v>
      </c>
      <c r="J31" s="35">
        <f t="shared" si="3"/>
        <v>0</v>
      </c>
      <c r="K31" s="36">
        <f t="shared" si="5"/>
        <v>0</v>
      </c>
      <c r="L31" s="251"/>
      <c r="M31" s="252"/>
      <c r="N31" s="252"/>
      <c r="O31" s="252"/>
      <c r="P31" s="253"/>
      <c r="Q31" s="89"/>
      <c r="R31" s="210"/>
      <c r="S31" s="76"/>
      <c r="T31" s="76"/>
      <c r="U31" s="76"/>
      <c r="V31" s="76"/>
      <c r="W31" s="76"/>
      <c r="X31" s="76"/>
      <c r="Y31" s="76"/>
      <c r="Z31" s="76"/>
      <c r="AA31" s="68"/>
      <c r="AB31" s="166"/>
      <c r="AC31" s="6"/>
      <c r="AD31" s="95"/>
      <c r="AE31" s="99"/>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row>
    <row r="32" spans="1:252" s="96" customFormat="1" ht="20.25" customHeight="1">
      <c r="A32" s="32" t="str">
        <f t="shared" si="0"/>
        <v>Mittwoch</v>
      </c>
      <c r="B32" s="37">
        <f t="shared" si="6"/>
        <v>42746</v>
      </c>
      <c r="C32" s="185" t="str">
        <f>IF(OR(A32="Samstag",A32="Sonntag"),"",IF(COUNTIF(Übersicht!C$16:C$30,B32)&gt;0,"BA",""))</f>
        <v/>
      </c>
      <c r="D32" s="38"/>
      <c r="E32" s="172">
        <f t="shared" si="4"/>
        <v>0</v>
      </c>
      <c r="F32" s="176"/>
      <c r="G32" s="177"/>
      <c r="H32" s="178"/>
      <c r="I32" s="38">
        <f t="shared" si="1"/>
        <v>0</v>
      </c>
      <c r="J32" s="35">
        <f t="shared" si="3"/>
        <v>0</v>
      </c>
      <c r="K32" s="36">
        <f t="shared" si="5"/>
        <v>0</v>
      </c>
      <c r="L32" s="251"/>
      <c r="M32" s="252"/>
      <c r="N32" s="252"/>
      <c r="O32" s="252"/>
      <c r="P32" s="253"/>
      <c r="Q32" s="89"/>
      <c r="R32" s="210"/>
      <c r="S32" s="76"/>
      <c r="T32" s="76"/>
      <c r="U32" s="76"/>
      <c r="V32" s="76"/>
      <c r="W32" s="76"/>
      <c r="X32" s="76"/>
      <c r="Y32" s="76"/>
      <c r="Z32" s="76"/>
      <c r="AA32" s="68"/>
      <c r="AB32" s="166"/>
      <c r="AC32" s="6"/>
      <c r="AD32" s="95"/>
      <c r="AE32" s="99"/>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row>
    <row r="33" spans="1:252" s="96" customFormat="1" ht="20.25" customHeight="1">
      <c r="A33" s="32" t="str">
        <f t="shared" si="0"/>
        <v>Donnerstag</v>
      </c>
      <c r="B33" s="37">
        <f t="shared" si="6"/>
        <v>42747</v>
      </c>
      <c r="C33" s="185" t="str">
        <f>IF(OR(A33="Samstag",A33="Sonntag"),"",IF(COUNTIF(Übersicht!C$16:C$30,B33)&gt;0,"BA",""))</f>
        <v/>
      </c>
      <c r="D33" s="38"/>
      <c r="E33" s="172">
        <f t="shared" si="4"/>
        <v>0</v>
      </c>
      <c r="F33" s="176"/>
      <c r="G33" s="177"/>
      <c r="H33" s="178"/>
      <c r="I33" s="38">
        <f t="shared" si="1"/>
        <v>0</v>
      </c>
      <c r="J33" s="35">
        <f t="shared" si="3"/>
        <v>0</v>
      </c>
      <c r="K33" s="36">
        <f t="shared" si="5"/>
        <v>0</v>
      </c>
      <c r="L33" s="251"/>
      <c r="M33" s="252"/>
      <c r="N33" s="252"/>
      <c r="O33" s="252"/>
      <c r="P33" s="253"/>
      <c r="Q33" s="89"/>
      <c r="R33" s="165"/>
      <c r="S33" s="76"/>
      <c r="T33" s="76"/>
      <c r="U33" s="76"/>
      <c r="V33" s="76"/>
      <c r="W33" s="76"/>
      <c r="X33" s="76"/>
      <c r="Y33" s="76"/>
      <c r="Z33" s="76"/>
      <c r="AA33" s="68"/>
      <c r="AB33" s="166"/>
      <c r="AC33" s="6"/>
      <c r="AD33" s="95"/>
      <c r="AE33" s="99"/>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row>
    <row r="34" spans="1:252" s="96" customFormat="1" ht="20.25" customHeight="1">
      <c r="A34" s="32" t="str">
        <f t="shared" si="0"/>
        <v>Freitag</v>
      </c>
      <c r="B34" s="37">
        <f t="shared" si="6"/>
        <v>42748</v>
      </c>
      <c r="C34" s="185" t="str">
        <f>IF(OR(A34="Samstag",A34="Sonntag"),"",IF(COUNTIF(Übersicht!C$16:C$30,B34)&gt;0,"BA",""))</f>
        <v/>
      </c>
      <c r="D34" s="38"/>
      <c r="E34" s="172">
        <f t="shared" si="4"/>
        <v>0</v>
      </c>
      <c r="F34" s="176"/>
      <c r="G34" s="177"/>
      <c r="H34" s="178"/>
      <c r="I34" s="38">
        <f t="shared" si="1"/>
        <v>0</v>
      </c>
      <c r="J34" s="35">
        <f t="shared" si="3"/>
        <v>0</v>
      </c>
      <c r="K34" s="36">
        <f t="shared" si="5"/>
        <v>0</v>
      </c>
      <c r="L34" s="251"/>
      <c r="M34" s="252"/>
      <c r="N34" s="252"/>
      <c r="O34" s="252"/>
      <c r="P34" s="253"/>
      <c r="Q34" s="89"/>
      <c r="R34" s="165"/>
      <c r="S34" s="76"/>
      <c r="T34" s="76"/>
      <c r="U34" s="76"/>
      <c r="V34" s="76"/>
      <c r="W34" s="76"/>
      <c r="X34" s="76"/>
      <c r="Y34" s="76"/>
      <c r="Z34" s="76"/>
      <c r="AA34" s="68"/>
      <c r="AB34" s="166"/>
      <c r="AC34" s="6"/>
      <c r="AD34" s="95"/>
      <c r="AE34" s="99"/>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row>
    <row r="35" spans="1:252" s="96" customFormat="1" ht="20.25" customHeight="1">
      <c r="A35" s="32" t="str">
        <f t="shared" si="0"/>
        <v>Samstag</v>
      </c>
      <c r="B35" s="37">
        <f t="shared" si="6"/>
        <v>42749</v>
      </c>
      <c r="C35" s="185" t="str">
        <f>IF(OR(A35="Samstag",A35="Sonntag"),"",IF(COUNTIF(Übersicht!C$16:C$30,B35)&gt;0,"BA",""))</f>
        <v/>
      </c>
      <c r="D35" s="38"/>
      <c r="E35" s="172" t="str">
        <f t="shared" si="4"/>
        <v/>
      </c>
      <c r="F35" s="176"/>
      <c r="G35" s="177"/>
      <c r="H35" s="178"/>
      <c r="I35" s="38">
        <f t="shared" si="1"/>
        <v>0</v>
      </c>
      <c r="J35" s="35">
        <f t="shared" si="3"/>
        <v>0</v>
      </c>
      <c r="K35" s="36">
        <f t="shared" si="5"/>
        <v>0</v>
      </c>
      <c r="L35" s="251"/>
      <c r="M35" s="252"/>
      <c r="N35" s="252"/>
      <c r="O35" s="252"/>
      <c r="P35" s="253"/>
      <c r="Q35" s="89"/>
      <c r="R35" s="165"/>
      <c r="S35" s="76"/>
      <c r="T35" s="76"/>
      <c r="U35" s="76"/>
      <c r="V35" s="76"/>
      <c r="W35" s="76"/>
      <c r="X35" s="76"/>
      <c r="Y35" s="76"/>
      <c r="Z35" s="76"/>
      <c r="AA35" s="68"/>
      <c r="AB35" s="166"/>
      <c r="AC35" s="6"/>
      <c r="AD35" s="95"/>
      <c r="AE35" s="99"/>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row>
    <row r="36" spans="1:252" s="96" customFormat="1" ht="20.25" customHeight="1">
      <c r="A36" s="32" t="str">
        <f t="shared" si="0"/>
        <v>Sonntag</v>
      </c>
      <c r="B36" s="37">
        <f t="shared" si="6"/>
        <v>42750</v>
      </c>
      <c r="C36" s="185" t="str">
        <f>IF(OR(A36="Samstag",A36="Sonntag"),"",IF(COUNTIF(Übersicht!C$16:C$30,B36)&gt;0,"BA",""))</f>
        <v/>
      </c>
      <c r="D36" s="38"/>
      <c r="E36" s="172" t="str">
        <f t="shared" si="4"/>
        <v/>
      </c>
      <c r="F36" s="176"/>
      <c r="G36" s="177"/>
      <c r="H36" s="178"/>
      <c r="I36" s="38">
        <f t="shared" si="1"/>
        <v>0</v>
      </c>
      <c r="J36" s="35">
        <f t="shared" si="3"/>
        <v>0</v>
      </c>
      <c r="K36" s="36">
        <f t="shared" si="5"/>
        <v>0</v>
      </c>
      <c r="L36" s="251"/>
      <c r="M36" s="252"/>
      <c r="N36" s="252"/>
      <c r="O36" s="252"/>
      <c r="P36" s="253"/>
      <c r="Q36" s="89"/>
      <c r="R36" s="165"/>
      <c r="S36" s="76"/>
      <c r="T36" s="76"/>
      <c r="U36" s="76"/>
      <c r="V36" s="76"/>
      <c r="W36" s="76"/>
      <c r="X36" s="76"/>
      <c r="Y36" s="76"/>
      <c r="Z36" s="76"/>
      <c r="AA36" s="68"/>
      <c r="AB36" s="166"/>
      <c r="AC36" s="6"/>
      <c r="AD36" s="95"/>
      <c r="AE36" s="99"/>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row>
    <row r="37" spans="1:252" s="96" customFormat="1" ht="20.25" customHeight="1">
      <c r="A37" s="32" t="str">
        <f t="shared" si="0"/>
        <v>Montag</v>
      </c>
      <c r="B37" s="37">
        <f t="shared" si="6"/>
        <v>42751</v>
      </c>
      <c r="C37" s="185" t="str">
        <f>IF(OR(A37="Samstag",A37="Sonntag"),"",IF(COUNTIF(Übersicht!C$16:C$30,B37)&gt;0,"BA",""))</f>
        <v/>
      </c>
      <c r="D37" s="38"/>
      <c r="E37" s="172">
        <f t="shared" si="4"/>
        <v>0</v>
      </c>
      <c r="F37" s="176"/>
      <c r="G37" s="177"/>
      <c r="H37" s="178"/>
      <c r="I37" s="38">
        <f t="shared" si="1"/>
        <v>0</v>
      </c>
      <c r="J37" s="35">
        <f t="shared" si="3"/>
        <v>0</v>
      </c>
      <c r="K37" s="36">
        <f t="shared" si="5"/>
        <v>0</v>
      </c>
      <c r="L37" s="251"/>
      <c r="M37" s="252"/>
      <c r="N37" s="252"/>
      <c r="O37" s="252"/>
      <c r="P37" s="253"/>
      <c r="Q37" s="89"/>
      <c r="R37" s="165"/>
      <c r="S37" s="76"/>
      <c r="T37" s="76"/>
      <c r="U37" s="76"/>
      <c r="V37" s="76"/>
      <c r="W37" s="76"/>
      <c r="X37" s="76"/>
      <c r="Y37" s="76"/>
      <c r="Z37" s="76"/>
      <c r="AA37" s="68"/>
      <c r="AB37" s="166"/>
      <c r="AC37" s="6"/>
      <c r="AD37" s="95"/>
      <c r="AE37" s="99"/>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row>
    <row r="38" spans="1:252" s="96" customFormat="1" ht="20.25" customHeight="1">
      <c r="A38" s="32" t="str">
        <f t="shared" si="0"/>
        <v>Dienstag</v>
      </c>
      <c r="B38" s="37">
        <f t="shared" si="6"/>
        <v>42752</v>
      </c>
      <c r="C38" s="185" t="str">
        <f>IF(OR(A38="Samstag",A38="Sonntag"),"",IF(COUNTIF(Übersicht!C$16:C$30,B38)&gt;0,"BA",""))</f>
        <v/>
      </c>
      <c r="D38" s="38"/>
      <c r="E38" s="172">
        <f t="shared" si="4"/>
        <v>0</v>
      </c>
      <c r="F38" s="176"/>
      <c r="G38" s="177"/>
      <c r="H38" s="178"/>
      <c r="I38" s="38">
        <f t="shared" si="1"/>
        <v>0</v>
      </c>
      <c r="J38" s="35">
        <f t="shared" si="3"/>
        <v>0</v>
      </c>
      <c r="K38" s="36">
        <f t="shared" si="5"/>
        <v>0</v>
      </c>
      <c r="L38" s="251"/>
      <c r="M38" s="252"/>
      <c r="N38" s="252"/>
      <c r="O38" s="252"/>
      <c r="P38" s="253"/>
      <c r="Q38" s="89"/>
      <c r="R38" s="165"/>
      <c r="S38" s="76"/>
      <c r="T38" s="76"/>
      <c r="U38" s="76"/>
      <c r="V38" s="76"/>
      <c r="W38" s="76"/>
      <c r="X38" s="76"/>
      <c r="Y38" s="76"/>
      <c r="Z38" s="76"/>
      <c r="AA38" s="68"/>
      <c r="AB38" s="166"/>
      <c r="AC38" s="6"/>
      <c r="AD38" s="95"/>
      <c r="AE38" s="99"/>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row>
    <row r="39" spans="1:252" s="96" customFormat="1" ht="20.25" customHeight="1">
      <c r="A39" s="32" t="str">
        <f t="shared" si="0"/>
        <v>Mittwoch</v>
      </c>
      <c r="B39" s="37">
        <f t="shared" si="6"/>
        <v>42753</v>
      </c>
      <c r="C39" s="185" t="str">
        <f>IF(OR(A39="Samstag",A39="Sonntag"),"",IF(COUNTIF(Übersicht!C$16:C$30,B39)&gt;0,"BA",""))</f>
        <v/>
      </c>
      <c r="D39" s="38"/>
      <c r="E39" s="172">
        <f t="shared" si="4"/>
        <v>0</v>
      </c>
      <c r="F39" s="176"/>
      <c r="G39" s="177"/>
      <c r="H39" s="178"/>
      <c r="I39" s="38">
        <f t="shared" si="1"/>
        <v>0</v>
      </c>
      <c r="J39" s="35">
        <f t="shared" si="3"/>
        <v>0</v>
      </c>
      <c r="K39" s="36">
        <f t="shared" si="5"/>
        <v>0</v>
      </c>
      <c r="L39" s="251"/>
      <c r="M39" s="252"/>
      <c r="N39" s="252"/>
      <c r="O39" s="252"/>
      <c r="P39" s="253"/>
      <c r="Q39" s="89"/>
      <c r="R39" s="165"/>
      <c r="S39" s="76"/>
      <c r="T39" s="76"/>
      <c r="U39" s="76"/>
      <c r="V39" s="76"/>
      <c r="W39" s="76"/>
      <c r="X39" s="76"/>
      <c r="Y39" s="76"/>
      <c r="Z39" s="76"/>
      <c r="AA39" s="68"/>
      <c r="AB39" s="166"/>
      <c r="AC39" s="6"/>
      <c r="AD39" s="95"/>
      <c r="AE39" s="99"/>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row>
    <row r="40" spans="1:252" s="96" customFormat="1" ht="20.25" customHeight="1">
      <c r="A40" s="32" t="str">
        <f t="shared" si="0"/>
        <v>Donnerstag</v>
      </c>
      <c r="B40" s="37">
        <f t="shared" si="6"/>
        <v>42754</v>
      </c>
      <c r="C40" s="185" t="str">
        <f>IF(OR(A40="Samstag",A40="Sonntag"),"",IF(COUNTIF(Übersicht!C$16:C$30,B40)&gt;0,"BA",""))</f>
        <v/>
      </c>
      <c r="D40" s="38"/>
      <c r="E40" s="172">
        <f t="shared" si="4"/>
        <v>0</v>
      </c>
      <c r="F40" s="176"/>
      <c r="G40" s="177"/>
      <c r="H40" s="178"/>
      <c r="I40" s="38">
        <f t="shared" si="1"/>
        <v>0</v>
      </c>
      <c r="J40" s="35">
        <f t="shared" si="3"/>
        <v>0</v>
      </c>
      <c r="K40" s="36">
        <f t="shared" si="5"/>
        <v>0</v>
      </c>
      <c r="L40" s="251"/>
      <c r="M40" s="252"/>
      <c r="N40" s="252"/>
      <c r="O40" s="252"/>
      <c r="P40" s="253"/>
      <c r="Q40" s="89"/>
      <c r="R40" s="165"/>
      <c r="S40" s="76"/>
      <c r="T40" s="76"/>
      <c r="U40" s="76"/>
      <c r="V40" s="76"/>
      <c r="W40" s="76"/>
      <c r="X40" s="76"/>
      <c r="Y40" s="76"/>
      <c r="Z40" s="76"/>
      <c r="AA40" s="68"/>
      <c r="AB40" s="166"/>
      <c r="AC40" s="6"/>
      <c r="AD40" s="95"/>
      <c r="AE40" s="99"/>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row>
    <row r="41" spans="1:252" s="96" customFormat="1" ht="20.25" customHeight="1">
      <c r="A41" s="32" t="str">
        <f t="shared" si="0"/>
        <v>Freitag</v>
      </c>
      <c r="B41" s="37">
        <f t="shared" si="6"/>
        <v>42755</v>
      </c>
      <c r="C41" s="185" t="str">
        <f>IF(OR(A41="Samstag",A41="Sonntag"),"",IF(COUNTIF(Übersicht!C$16:C$30,B41)&gt;0,"BA",""))</f>
        <v/>
      </c>
      <c r="D41" s="38"/>
      <c r="E41" s="172">
        <f t="shared" si="4"/>
        <v>0</v>
      </c>
      <c r="F41" s="176"/>
      <c r="G41" s="177"/>
      <c r="H41" s="178"/>
      <c r="I41" s="38">
        <f t="shared" si="1"/>
        <v>0</v>
      </c>
      <c r="J41" s="35">
        <f t="shared" si="3"/>
        <v>0</v>
      </c>
      <c r="K41" s="36">
        <f t="shared" si="5"/>
        <v>0</v>
      </c>
      <c r="L41" s="251"/>
      <c r="M41" s="252"/>
      <c r="N41" s="252"/>
      <c r="O41" s="252"/>
      <c r="P41" s="253"/>
      <c r="Q41" s="89"/>
      <c r="R41" s="165"/>
      <c r="S41" s="76"/>
      <c r="T41" s="76"/>
      <c r="U41" s="76"/>
      <c r="V41" s="76"/>
      <c r="W41" s="76"/>
      <c r="X41" s="76"/>
      <c r="Y41" s="76"/>
      <c r="Z41" s="76"/>
      <c r="AA41" s="68"/>
      <c r="AB41" s="166"/>
      <c r="AC41" s="6"/>
      <c r="AD41" s="95"/>
      <c r="AE41" s="99"/>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row>
    <row r="42" spans="1:252" s="96" customFormat="1" ht="20.25" customHeight="1">
      <c r="A42" s="32" t="str">
        <f t="shared" si="0"/>
        <v>Samstag</v>
      </c>
      <c r="B42" s="37">
        <f t="shared" si="6"/>
        <v>42756</v>
      </c>
      <c r="C42" s="185" t="str">
        <f>IF(OR(A42="Samstag",A42="Sonntag"),"",IF(COUNTIF(Übersicht!C$16:C$30,B42)&gt;0,"BA",""))</f>
        <v/>
      </c>
      <c r="D42" s="38"/>
      <c r="E42" s="172" t="str">
        <f t="shared" si="4"/>
        <v/>
      </c>
      <c r="F42" s="176"/>
      <c r="G42" s="177"/>
      <c r="H42" s="178"/>
      <c r="I42" s="38">
        <f t="shared" si="1"/>
        <v>0</v>
      </c>
      <c r="J42" s="35">
        <f t="shared" si="3"/>
        <v>0</v>
      </c>
      <c r="K42" s="36">
        <f t="shared" si="5"/>
        <v>0</v>
      </c>
      <c r="L42" s="251"/>
      <c r="M42" s="252"/>
      <c r="N42" s="252"/>
      <c r="O42" s="252"/>
      <c r="P42" s="253"/>
      <c r="Q42" s="89"/>
      <c r="R42" s="165"/>
      <c r="S42" s="76"/>
      <c r="T42" s="76"/>
      <c r="U42" s="76"/>
      <c r="V42" s="76"/>
      <c r="W42" s="76"/>
      <c r="X42" s="76"/>
      <c r="Y42" s="76"/>
      <c r="Z42" s="76"/>
      <c r="AA42" s="68"/>
      <c r="AB42" s="166"/>
      <c r="AC42" s="6"/>
      <c r="AD42" s="95"/>
      <c r="AE42" s="99"/>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row>
    <row r="43" spans="1:252" s="96" customFormat="1" ht="20.25" customHeight="1">
      <c r="A43" s="32" t="str">
        <f t="shared" si="0"/>
        <v>Sonntag</v>
      </c>
      <c r="B43" s="37">
        <f t="shared" si="6"/>
        <v>42757</v>
      </c>
      <c r="C43" s="185" t="str">
        <f>IF(OR(A43="Samstag",A43="Sonntag"),"",IF(COUNTIF(Übersicht!C$16:C$30,B43)&gt;0,"BA",""))</f>
        <v/>
      </c>
      <c r="D43" s="38"/>
      <c r="E43" s="172" t="str">
        <f t="shared" si="4"/>
        <v/>
      </c>
      <c r="F43" s="176"/>
      <c r="G43" s="177"/>
      <c r="H43" s="178"/>
      <c r="I43" s="38">
        <f t="shared" si="1"/>
        <v>0</v>
      </c>
      <c r="J43" s="35">
        <f t="shared" si="3"/>
        <v>0</v>
      </c>
      <c r="K43" s="36">
        <f t="shared" si="5"/>
        <v>0</v>
      </c>
      <c r="L43" s="251"/>
      <c r="M43" s="252"/>
      <c r="N43" s="252"/>
      <c r="O43" s="252"/>
      <c r="P43" s="253"/>
      <c r="Q43" s="89"/>
      <c r="R43" s="165"/>
      <c r="S43" s="76"/>
      <c r="T43" s="76"/>
      <c r="U43" s="76"/>
      <c r="V43" s="76"/>
      <c r="W43" s="76"/>
      <c r="X43" s="76"/>
      <c r="Y43" s="76"/>
      <c r="Z43" s="76"/>
      <c r="AA43" s="68"/>
      <c r="AB43" s="166"/>
      <c r="AC43" s="6"/>
      <c r="AD43" s="95"/>
      <c r="AE43" s="99"/>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row>
    <row r="44" spans="1:252" s="96" customFormat="1" ht="20.25" customHeight="1">
      <c r="A44" s="32" t="str">
        <f t="shared" si="0"/>
        <v>Montag</v>
      </c>
      <c r="B44" s="37">
        <f t="shared" si="6"/>
        <v>42758</v>
      </c>
      <c r="C44" s="185" t="str">
        <f>IF(OR(A44="Samstag",A44="Sonntag"),"",IF(COUNTIF(Übersicht!C$16:C$30,B44)&gt;0,"BA",""))</f>
        <v/>
      </c>
      <c r="D44" s="38"/>
      <c r="E44" s="172">
        <f t="shared" si="4"/>
        <v>0</v>
      </c>
      <c r="F44" s="176"/>
      <c r="G44" s="177"/>
      <c r="H44" s="178"/>
      <c r="I44" s="38">
        <f t="shared" si="1"/>
        <v>0</v>
      </c>
      <c r="J44" s="35">
        <f t="shared" si="3"/>
        <v>0</v>
      </c>
      <c r="K44" s="36">
        <f t="shared" si="5"/>
        <v>0</v>
      </c>
      <c r="L44" s="251"/>
      <c r="M44" s="252"/>
      <c r="N44" s="252"/>
      <c r="O44" s="252"/>
      <c r="P44" s="253"/>
      <c r="Q44" s="89"/>
      <c r="R44" s="165"/>
      <c r="S44" s="76"/>
      <c r="T44" s="76"/>
      <c r="U44" s="76"/>
      <c r="V44" s="76"/>
      <c r="W44" s="76"/>
      <c r="X44" s="76"/>
      <c r="Y44" s="76"/>
      <c r="Z44" s="76"/>
      <c r="AA44" s="68"/>
      <c r="AB44" s="166"/>
      <c r="AC44" s="6"/>
      <c r="AD44" s="95"/>
      <c r="AE44" s="99"/>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row>
    <row r="45" spans="1:252" s="96" customFormat="1" ht="20.25" customHeight="1">
      <c r="A45" s="32" t="str">
        <f t="shared" si="0"/>
        <v>Dienstag</v>
      </c>
      <c r="B45" s="37">
        <f t="shared" si="6"/>
        <v>42759</v>
      </c>
      <c r="C45" s="185" t="str">
        <f>IF(OR(A45="Samstag",A45="Sonntag"),"",IF(COUNTIF(Übersicht!C$16:C$30,B45)&gt;0,"BA",""))</f>
        <v/>
      </c>
      <c r="D45" s="38"/>
      <c r="E45" s="172">
        <f t="shared" si="4"/>
        <v>0</v>
      </c>
      <c r="F45" s="176"/>
      <c r="G45" s="177"/>
      <c r="H45" s="178"/>
      <c r="I45" s="38">
        <f t="shared" si="1"/>
        <v>0</v>
      </c>
      <c r="J45" s="35">
        <f t="shared" si="3"/>
        <v>0</v>
      </c>
      <c r="K45" s="36">
        <f t="shared" si="5"/>
        <v>0</v>
      </c>
      <c r="L45" s="251"/>
      <c r="M45" s="252"/>
      <c r="N45" s="252"/>
      <c r="O45" s="252"/>
      <c r="P45" s="253"/>
      <c r="Q45" s="89"/>
      <c r="R45" s="165"/>
      <c r="S45" s="76"/>
      <c r="T45" s="76"/>
      <c r="U45" s="76"/>
      <c r="V45" s="76"/>
      <c r="W45" s="76"/>
      <c r="X45" s="76"/>
      <c r="Y45" s="76"/>
      <c r="Z45" s="76"/>
      <c r="AA45" s="68"/>
      <c r="AB45" s="166"/>
      <c r="AC45" s="6"/>
      <c r="AD45" s="95"/>
      <c r="AE45" s="99"/>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row>
    <row r="46" spans="1:252" s="96" customFormat="1" ht="20.25" customHeight="1">
      <c r="A46" s="32" t="str">
        <f t="shared" si="0"/>
        <v>Mittwoch</v>
      </c>
      <c r="B46" s="37">
        <f t="shared" si="6"/>
        <v>42760</v>
      </c>
      <c r="C46" s="185" t="str">
        <f>IF(OR(A46="Samstag",A46="Sonntag"),"",IF(COUNTIF(Übersicht!C$16:C$30,B46)&gt;0,"BA",""))</f>
        <v/>
      </c>
      <c r="D46" s="38"/>
      <c r="E46" s="172">
        <f t="shared" si="4"/>
        <v>0</v>
      </c>
      <c r="F46" s="176"/>
      <c r="G46" s="177"/>
      <c r="H46" s="178"/>
      <c r="I46" s="38">
        <f t="shared" si="1"/>
        <v>0</v>
      </c>
      <c r="J46" s="35">
        <f t="shared" si="3"/>
        <v>0</v>
      </c>
      <c r="K46" s="36">
        <f t="shared" si="5"/>
        <v>0</v>
      </c>
      <c r="L46" s="251"/>
      <c r="M46" s="252"/>
      <c r="N46" s="252"/>
      <c r="O46" s="252"/>
      <c r="P46" s="253"/>
      <c r="Q46" s="89"/>
      <c r="R46" s="165"/>
      <c r="S46" s="76"/>
      <c r="T46" s="76"/>
      <c r="U46" s="76"/>
      <c r="V46" s="76"/>
      <c r="W46" s="76"/>
      <c r="X46" s="76"/>
      <c r="Y46" s="76"/>
      <c r="Z46" s="76"/>
      <c r="AA46" s="68"/>
      <c r="AB46" s="166"/>
      <c r="AC46" s="6"/>
      <c r="AD46" s="95"/>
      <c r="AE46" s="99"/>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row>
    <row r="47" spans="1:252" s="96" customFormat="1" ht="20.25" customHeight="1">
      <c r="A47" s="32" t="str">
        <f t="shared" si="0"/>
        <v>Donnerstag</v>
      </c>
      <c r="B47" s="37">
        <f t="shared" si="6"/>
        <v>42761</v>
      </c>
      <c r="C47" s="185" t="str">
        <f>IF(OR(A47="Samstag",A47="Sonntag"),"",IF(COUNTIF(Übersicht!C$16:C$30,B47)&gt;0,"BA",""))</f>
        <v/>
      </c>
      <c r="D47" s="38"/>
      <c r="E47" s="172">
        <f t="shared" si="4"/>
        <v>0</v>
      </c>
      <c r="F47" s="176"/>
      <c r="G47" s="177"/>
      <c r="H47" s="178"/>
      <c r="I47" s="38">
        <f t="shared" si="1"/>
        <v>0</v>
      </c>
      <c r="J47" s="35">
        <f t="shared" si="3"/>
        <v>0</v>
      </c>
      <c r="K47" s="36">
        <f t="shared" si="5"/>
        <v>0</v>
      </c>
      <c r="L47" s="251"/>
      <c r="M47" s="252"/>
      <c r="N47" s="252"/>
      <c r="O47" s="252"/>
      <c r="P47" s="253"/>
      <c r="Q47" s="89"/>
      <c r="R47" s="165"/>
      <c r="S47" s="76"/>
      <c r="T47" s="76"/>
      <c r="U47" s="76"/>
      <c r="V47" s="76"/>
      <c r="W47" s="76"/>
      <c r="X47" s="76"/>
      <c r="Y47" s="76"/>
      <c r="Z47" s="76"/>
      <c r="AA47" s="68"/>
      <c r="AB47" s="166"/>
      <c r="AC47" s="6"/>
      <c r="AD47" s="95"/>
      <c r="AE47" s="99"/>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row>
    <row r="48" spans="1:252" s="96" customFormat="1" ht="20.25" customHeight="1">
      <c r="A48" s="32" t="str">
        <f t="shared" si="0"/>
        <v>Freitag</v>
      </c>
      <c r="B48" s="37">
        <f t="shared" si="6"/>
        <v>42762</v>
      </c>
      <c r="C48" s="185" t="str">
        <f>IF(OR(A48="Samstag",A48="Sonntag"),"",IF(COUNTIF(Übersicht!C$16:C$30,B48)&gt;0,"BA",""))</f>
        <v/>
      </c>
      <c r="D48" s="38"/>
      <c r="E48" s="172">
        <f t="shared" si="4"/>
        <v>0</v>
      </c>
      <c r="F48" s="176"/>
      <c r="G48" s="177"/>
      <c r="H48" s="178"/>
      <c r="I48" s="38">
        <f t="shared" si="1"/>
        <v>0</v>
      </c>
      <c r="J48" s="35">
        <f t="shared" si="3"/>
        <v>0</v>
      </c>
      <c r="K48" s="36">
        <f t="shared" si="5"/>
        <v>0</v>
      </c>
      <c r="L48" s="251"/>
      <c r="M48" s="252"/>
      <c r="N48" s="252"/>
      <c r="O48" s="252"/>
      <c r="P48" s="253"/>
      <c r="Q48" s="89"/>
      <c r="R48" s="165"/>
      <c r="S48" s="76"/>
      <c r="T48" s="76"/>
      <c r="U48" s="76"/>
      <c r="V48" s="76"/>
      <c r="W48" s="76"/>
      <c r="X48" s="76"/>
      <c r="Y48" s="76"/>
      <c r="Z48" s="76"/>
      <c r="AA48" s="68"/>
      <c r="AB48" s="166"/>
      <c r="AC48" s="6"/>
      <c r="AD48" s="95"/>
      <c r="AE48" s="99"/>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row>
    <row r="49" spans="1:252" s="96" customFormat="1" ht="20.25" customHeight="1">
      <c r="A49" s="32" t="str">
        <f t="shared" si="0"/>
        <v>Samstag</v>
      </c>
      <c r="B49" s="37">
        <f t="shared" si="6"/>
        <v>42763</v>
      </c>
      <c r="C49" s="185" t="str">
        <f>IF(OR(A49="Samstag",A49="Sonntag"),"",IF(COUNTIF(Übersicht!C$16:C$30,B49)&gt;0,"BA",""))</f>
        <v/>
      </c>
      <c r="D49" s="38"/>
      <c r="E49" s="172" t="str">
        <f t="shared" si="4"/>
        <v/>
      </c>
      <c r="F49" s="176"/>
      <c r="G49" s="177"/>
      <c r="H49" s="178"/>
      <c r="I49" s="38">
        <f t="shared" si="1"/>
        <v>0</v>
      </c>
      <c r="J49" s="35">
        <f t="shared" si="3"/>
        <v>0</v>
      </c>
      <c r="K49" s="36">
        <f t="shared" si="5"/>
        <v>0</v>
      </c>
      <c r="L49" s="251"/>
      <c r="M49" s="252"/>
      <c r="N49" s="252"/>
      <c r="O49" s="252"/>
      <c r="P49" s="253"/>
      <c r="Q49" s="89"/>
      <c r="R49" s="165"/>
      <c r="S49" s="76"/>
      <c r="T49" s="76"/>
      <c r="U49" s="76"/>
      <c r="V49" s="76"/>
      <c r="W49" s="76"/>
      <c r="X49" s="76"/>
      <c r="Y49" s="76"/>
      <c r="Z49" s="76"/>
      <c r="AA49" s="68"/>
      <c r="AB49" s="166"/>
      <c r="AC49" s="6"/>
      <c r="AD49" s="95"/>
      <c r="AE49" s="99"/>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row>
    <row r="50" spans="1:252" s="96" customFormat="1" ht="20.25" customHeight="1">
      <c r="A50" s="32" t="str">
        <f t="shared" si="0"/>
        <v>Sonntag</v>
      </c>
      <c r="B50" s="37">
        <f t="shared" si="6"/>
        <v>42764</v>
      </c>
      <c r="C50" s="185" t="str">
        <f>IF(OR(A50="Samstag",A50="Sonntag"),"",IF(COUNTIF(Übersicht!C$16:C$30,B50)&gt;0,"BA",""))</f>
        <v/>
      </c>
      <c r="D50" s="38"/>
      <c r="E50" s="172" t="str">
        <f t="shared" si="4"/>
        <v/>
      </c>
      <c r="F50" s="176"/>
      <c r="G50" s="177"/>
      <c r="H50" s="178"/>
      <c r="I50" s="38">
        <f t="shared" si="1"/>
        <v>0</v>
      </c>
      <c r="J50" s="35">
        <f t="shared" si="3"/>
        <v>0</v>
      </c>
      <c r="K50" s="36">
        <f t="shared" si="5"/>
        <v>0</v>
      </c>
      <c r="L50" s="251"/>
      <c r="M50" s="252"/>
      <c r="N50" s="252"/>
      <c r="O50" s="252"/>
      <c r="P50" s="253"/>
      <c r="Q50" s="89"/>
      <c r="R50" s="165"/>
      <c r="S50" s="76"/>
      <c r="T50" s="76"/>
      <c r="U50" s="76"/>
      <c r="V50" s="76"/>
      <c r="W50" s="76"/>
      <c r="X50" s="76"/>
      <c r="Y50" s="76"/>
      <c r="Z50" s="76"/>
      <c r="AA50" s="68"/>
      <c r="AB50" s="166"/>
      <c r="AC50" s="6"/>
      <c r="AD50" s="95"/>
      <c r="AE50" s="99"/>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row>
    <row r="51" spans="1:252" s="96" customFormat="1" ht="20.25" customHeight="1">
      <c r="A51" s="32" t="str">
        <f t="shared" si="0"/>
        <v>Montag</v>
      </c>
      <c r="B51" s="37">
        <f t="shared" si="6"/>
        <v>42765</v>
      </c>
      <c r="C51" s="185" t="str">
        <f>IF(OR(A51="Samstag",A51="Sonntag"),"",IF(COUNTIF(Übersicht!C$16:C$30,B51)&gt;0,"BA",""))</f>
        <v/>
      </c>
      <c r="D51" s="38"/>
      <c r="E51" s="172">
        <f t="shared" si="4"/>
        <v>0</v>
      </c>
      <c r="F51" s="176"/>
      <c r="G51" s="177"/>
      <c r="H51" s="178"/>
      <c r="I51" s="38">
        <f t="shared" si="1"/>
        <v>0</v>
      </c>
      <c r="J51" s="35">
        <f t="shared" si="3"/>
        <v>0</v>
      </c>
      <c r="K51" s="36">
        <f t="shared" si="5"/>
        <v>0</v>
      </c>
      <c r="L51" s="251"/>
      <c r="M51" s="252"/>
      <c r="N51" s="252"/>
      <c r="O51" s="252"/>
      <c r="P51" s="253"/>
      <c r="Q51" s="89"/>
      <c r="R51" s="165"/>
      <c r="S51" s="76"/>
      <c r="T51" s="76"/>
      <c r="U51" s="76"/>
      <c r="V51" s="76"/>
      <c r="W51" s="76"/>
      <c r="X51" s="76"/>
      <c r="Y51" s="76"/>
      <c r="Z51" s="76"/>
      <c r="AA51" s="68"/>
      <c r="AB51" s="166"/>
      <c r="AC51" s="6"/>
      <c r="AD51" s="95"/>
      <c r="AE51" s="99"/>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row>
    <row r="52" spans="1:252" s="96" customFormat="1" ht="20.25" customHeight="1" thickBot="1">
      <c r="A52" s="32" t="str">
        <f t="shared" si="0"/>
        <v>Dienstag</v>
      </c>
      <c r="B52" s="37">
        <f t="shared" si="6"/>
        <v>42766</v>
      </c>
      <c r="C52" s="185" t="str">
        <f>IF(OR(A52="Samstag",A52="Sonntag"),"",IF(COUNTIF(Übersicht!C$16:C$30,B52)&gt;0,"BA",""))</f>
        <v/>
      </c>
      <c r="D52" s="39"/>
      <c r="E52" s="172">
        <f t="shared" si="4"/>
        <v>0</v>
      </c>
      <c r="F52" s="198"/>
      <c r="G52" s="199"/>
      <c r="H52" s="200"/>
      <c r="I52" s="38">
        <f t="shared" si="1"/>
        <v>0</v>
      </c>
      <c r="J52" s="35">
        <f t="shared" si="3"/>
        <v>0</v>
      </c>
      <c r="K52" s="40">
        <f t="shared" si="5"/>
        <v>0</v>
      </c>
      <c r="L52" s="282"/>
      <c r="M52" s="283"/>
      <c r="N52" s="283"/>
      <c r="O52" s="283"/>
      <c r="P52" s="284"/>
      <c r="Q52" s="89"/>
      <c r="R52" s="165"/>
      <c r="S52" s="77"/>
      <c r="T52" s="77"/>
      <c r="U52" s="77"/>
      <c r="V52" s="77"/>
      <c r="W52" s="77"/>
      <c r="X52" s="77"/>
      <c r="Y52" s="77"/>
      <c r="Z52" s="78"/>
      <c r="AA52" s="68"/>
      <c r="AB52" s="166"/>
      <c r="AC52" s="6"/>
      <c r="AD52" s="95"/>
      <c r="AE52" s="99"/>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row>
    <row r="53" spans="1:252" s="96" customFormat="1" ht="18.75" customHeight="1">
      <c r="A53" s="6"/>
      <c r="B53" s="41" t="s">
        <v>26</v>
      </c>
      <c r="C53" s="42"/>
      <c r="D53" s="43"/>
      <c r="E53" s="43" t="s">
        <v>11</v>
      </c>
      <c r="F53" s="44"/>
      <c r="G53" s="44"/>
      <c r="H53" s="44"/>
      <c r="I53" s="43" t="s">
        <v>20</v>
      </c>
      <c r="J53" s="43" t="s">
        <v>28</v>
      </c>
      <c r="K53" s="43" t="s">
        <v>27</v>
      </c>
      <c r="L53" s="45"/>
      <c r="M53" s="45"/>
      <c r="N53" s="45"/>
      <c r="O53" s="45"/>
      <c r="P53" s="46"/>
      <c r="Q53" s="160"/>
      <c r="R53" s="160"/>
      <c r="S53" s="76"/>
      <c r="T53" s="183"/>
      <c r="U53" s="79"/>
      <c r="V53" s="6"/>
      <c r="W53" s="78"/>
      <c r="X53" s="76"/>
      <c r="Y53" s="80"/>
      <c r="Z53" s="80"/>
      <c r="AA53" s="68"/>
      <c r="AB53" s="68"/>
      <c r="AC53" s="6"/>
      <c r="AD53" s="95"/>
      <c r="AE53" s="99"/>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row>
    <row r="54" spans="1:252" s="96" customFormat="1" ht="18.75" customHeight="1">
      <c r="A54" s="6"/>
      <c r="B54" s="47"/>
      <c r="C54" s="48"/>
      <c r="D54" s="49"/>
      <c r="E54" s="50">
        <f>SUM(E22:E52)</f>
        <v>0</v>
      </c>
      <c r="F54" s="51"/>
      <c r="G54" s="52"/>
      <c r="H54" s="49"/>
      <c r="I54" s="50">
        <f>SUM(I22:I52)</f>
        <v>0</v>
      </c>
      <c r="J54" s="50">
        <f>SUM(J22:J52)</f>
        <v>0</v>
      </c>
      <c r="K54" s="50">
        <f>K52</f>
        <v>0</v>
      </c>
      <c r="L54" s="91"/>
      <c r="M54" s="91"/>
      <c r="N54" s="91"/>
      <c r="O54" s="91"/>
      <c r="P54" s="53"/>
      <c r="Q54" s="161"/>
      <c r="R54" s="161"/>
      <c r="S54" s="81"/>
      <c r="T54" s="82"/>
      <c r="U54" s="82"/>
      <c r="V54" s="6"/>
      <c r="W54" s="81"/>
      <c r="X54" s="81"/>
      <c r="Y54" s="6"/>
      <c r="Z54" s="6"/>
      <c r="AA54" s="68"/>
      <c r="AB54" s="68"/>
      <c r="AC54" s="6"/>
      <c r="AD54" s="95"/>
      <c r="AE54" s="99"/>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row>
    <row r="55" spans="1:252" s="96" customFormat="1" ht="15">
      <c r="A55" s="6"/>
      <c r="B55" s="54"/>
      <c r="C55" s="54"/>
      <c r="D55" s="54"/>
      <c r="E55" s="54"/>
      <c r="F55" s="55"/>
      <c r="G55" s="56"/>
      <c r="H55" s="100"/>
      <c r="I55" s="6"/>
      <c r="J55" s="101"/>
      <c r="K55" s="257" t="str">
        <f>IF($E$54*1.5&lt;IF($M$7&lt;0,$I$54+$M$7,$I$54),"Überschreitung der zulässigen Monatsarbeitszeit um &gt;50%","")</f>
        <v/>
      </c>
      <c r="L55" s="257"/>
      <c r="M55" s="257"/>
      <c r="N55" s="257"/>
      <c r="O55" s="257"/>
      <c r="P55" s="60"/>
      <c r="Q55" s="162"/>
      <c r="R55" s="162"/>
      <c r="S55" s="83"/>
      <c r="T55" s="83"/>
      <c r="U55" s="83"/>
      <c r="V55" s="6"/>
      <c r="W55" s="6"/>
      <c r="X55" s="76"/>
      <c r="Y55" s="6"/>
      <c r="Z55" s="6"/>
      <c r="AA55" s="68"/>
      <c r="AB55" s="68"/>
      <c r="AC55" s="6"/>
      <c r="AD55" s="95"/>
      <c r="AE55" s="99"/>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row>
    <row r="56" spans="1:252" s="96" customFormat="1" ht="15">
      <c r="A56" s="6"/>
      <c r="B56" s="54"/>
      <c r="C56" s="54"/>
      <c r="D56" s="54"/>
      <c r="E56" s="54"/>
      <c r="F56" s="55"/>
      <c r="G56" s="56"/>
      <c r="H56" s="102"/>
      <c r="I56" s="101"/>
      <c r="J56" s="101"/>
      <c r="K56" s="58"/>
      <c r="L56" s="59"/>
      <c r="M56" s="59"/>
      <c r="N56" s="59"/>
      <c r="O56" s="59"/>
      <c r="P56" s="60"/>
      <c r="Q56" s="162"/>
      <c r="R56" s="162"/>
      <c r="S56" s="83"/>
      <c r="T56" s="83"/>
      <c r="U56" s="83"/>
      <c r="V56" s="6"/>
      <c r="W56" s="6"/>
      <c r="X56" s="81"/>
      <c r="Y56" s="6"/>
      <c r="Z56" s="6"/>
      <c r="AA56" s="68"/>
      <c r="AB56" s="68"/>
      <c r="AC56" s="6"/>
      <c r="AD56" s="95"/>
      <c r="AE56" s="99"/>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row>
    <row r="57" spans="1:252" s="96" customFormat="1" ht="15">
      <c r="A57" s="6"/>
      <c r="B57" s="61"/>
      <c r="C57" s="61"/>
      <c r="D57" s="61"/>
      <c r="E57" s="61"/>
      <c r="F57" s="61"/>
      <c r="G57" s="61"/>
      <c r="H57" s="62"/>
      <c r="I57" s="6"/>
      <c r="J57" s="6"/>
      <c r="K57" s="6" t="s">
        <v>75</v>
      </c>
      <c r="L57" s="6"/>
      <c r="M57" s="6"/>
      <c r="N57" s="6"/>
      <c r="O57" s="57"/>
      <c r="P57" s="24"/>
      <c r="Q57" s="156"/>
      <c r="R57" s="156"/>
      <c r="S57" s="6"/>
      <c r="T57" s="6"/>
      <c r="U57" s="6"/>
      <c r="V57" s="6"/>
      <c r="W57" s="6"/>
      <c r="X57" s="6"/>
      <c r="Y57" s="6"/>
      <c r="Z57" s="6"/>
      <c r="AA57" s="68"/>
      <c r="AB57" s="68"/>
      <c r="AC57" s="6"/>
      <c r="AD57" s="95"/>
      <c r="AE57" s="99"/>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row>
    <row r="58" spans="1:252" s="96" customFormat="1" ht="15">
      <c r="A58" s="6"/>
      <c r="B58" s="62"/>
      <c r="C58" s="62"/>
      <c r="D58" s="62"/>
      <c r="E58" s="62"/>
      <c r="F58" s="62"/>
      <c r="G58" s="62"/>
      <c r="H58" s="32"/>
      <c r="I58" s="103"/>
      <c r="J58" s="68"/>
      <c r="K58" s="6" t="s">
        <v>76</v>
      </c>
      <c r="L58" s="206"/>
      <c r="M58" s="207"/>
      <c r="N58" s="207"/>
      <c r="O58" s="201"/>
      <c r="P58" s="63"/>
      <c r="Q58" s="163"/>
      <c r="R58" s="163"/>
      <c r="S58" s="84"/>
      <c r="T58" s="84"/>
      <c r="U58" s="84"/>
      <c r="V58" s="6"/>
      <c r="W58" s="6"/>
      <c r="X58" s="6"/>
      <c r="Y58" s="6"/>
      <c r="Z58" s="6"/>
      <c r="AA58" s="68"/>
      <c r="AB58" s="68"/>
      <c r="AC58" s="6"/>
      <c r="AD58" s="95"/>
      <c r="AE58" s="99"/>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row>
    <row r="59" spans="1:252" s="96" customFormat="1" ht="15">
      <c r="A59" s="6"/>
      <c r="B59" s="64"/>
      <c r="C59" s="64"/>
      <c r="D59" s="64"/>
      <c r="E59" s="64"/>
      <c r="F59" s="64"/>
      <c r="G59" s="62"/>
      <c r="H59" s="208"/>
      <c r="I59" s="208"/>
      <c r="J59" s="208"/>
      <c r="K59" s="65"/>
      <c r="L59" s="65"/>
      <c r="M59" s="65"/>
      <c r="N59" s="65"/>
      <c r="O59" s="65"/>
      <c r="P59" s="66"/>
      <c r="Q59" s="156"/>
      <c r="R59" s="156"/>
      <c r="S59" s="6"/>
      <c r="T59" s="6"/>
      <c r="U59" s="6"/>
      <c r="V59" s="6"/>
      <c r="W59" s="6"/>
      <c r="X59" s="6"/>
      <c r="Y59" s="6"/>
      <c r="Z59" s="6"/>
      <c r="AA59" s="68"/>
      <c r="AB59" s="68"/>
      <c r="AC59" s="6"/>
      <c r="AD59" s="95"/>
      <c r="AE59" s="99"/>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row>
    <row r="60" spans="1:252" s="96" customFormat="1" ht="15">
      <c r="A60" s="6"/>
      <c r="B60" s="67" t="s">
        <v>4</v>
      </c>
      <c r="C60" s="280" t="s">
        <v>5</v>
      </c>
      <c r="D60" s="280"/>
      <c r="E60" s="280"/>
      <c r="F60" s="280"/>
      <c r="G60" s="281"/>
      <c r="H60" s="32"/>
      <c r="I60" s="104"/>
      <c r="J60" s="6"/>
      <c r="K60" s="67" t="s">
        <v>4</v>
      </c>
      <c r="L60" s="281" t="s">
        <v>66</v>
      </c>
      <c r="M60" s="281"/>
      <c r="N60" s="281"/>
      <c r="O60" s="281"/>
      <c r="P60" s="281"/>
      <c r="Q60" s="24"/>
      <c r="R60" s="6"/>
      <c r="S60" s="6"/>
      <c r="T60" s="6"/>
      <c r="U60" s="6"/>
      <c r="V60" s="6"/>
      <c r="W60" s="6"/>
      <c r="X60" s="6"/>
      <c r="Y60" s="6"/>
      <c r="Z60" s="6"/>
      <c r="AA60" s="68"/>
      <c r="AB60" s="68"/>
      <c r="AC60" s="6"/>
      <c r="AD60" s="95"/>
      <c r="AE60" s="99"/>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row>
    <row r="61" spans="1:252" s="96" customFormat="1" ht="15">
      <c r="A61" s="6"/>
      <c r="B61" s="67"/>
      <c r="C61" s="167"/>
      <c r="D61" s="167"/>
      <c r="E61" s="167"/>
      <c r="F61" s="167"/>
      <c r="G61" s="167"/>
      <c r="H61" s="32"/>
      <c r="I61" s="104"/>
      <c r="J61" s="6"/>
      <c r="K61" s="67"/>
      <c r="L61" s="167"/>
      <c r="M61" s="167"/>
      <c r="N61" s="167"/>
      <c r="O61" s="167"/>
      <c r="P61" s="167"/>
      <c r="Q61" s="24"/>
      <c r="R61" s="6"/>
      <c r="S61" s="6"/>
      <c r="T61" s="6"/>
      <c r="U61" s="6"/>
      <c r="V61" s="6"/>
      <c r="W61" s="6"/>
      <c r="X61" s="6"/>
      <c r="Y61" s="6"/>
      <c r="Z61" s="6"/>
      <c r="AA61" s="68"/>
      <c r="AB61" s="68"/>
      <c r="AC61" s="6"/>
      <c r="AD61" s="95"/>
      <c r="AE61" s="99"/>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row>
    <row r="62" spans="1:252" s="96" customFormat="1" ht="15">
      <c r="A62" s="6"/>
      <c r="B62" s="57"/>
      <c r="C62" s="57"/>
      <c r="D62" s="57"/>
      <c r="E62" s="57"/>
      <c r="F62" s="57"/>
      <c r="G62" s="57"/>
      <c r="H62" s="105" t="s">
        <v>46</v>
      </c>
      <c r="I62" s="32"/>
      <c r="J62" s="106">
        <v>42114</v>
      </c>
      <c r="K62" s="57"/>
      <c r="L62" s="57"/>
      <c r="M62" s="57"/>
      <c r="N62" s="57"/>
      <c r="O62" s="57"/>
      <c r="P62" s="24"/>
      <c r="Q62" s="24"/>
      <c r="R62" s="6"/>
      <c r="S62" s="6"/>
      <c r="T62" s="6"/>
      <c r="U62" s="6"/>
      <c r="V62" s="68"/>
      <c r="W62" s="6"/>
      <c r="X62" s="6"/>
      <c r="Y62" s="6"/>
      <c r="Z62" s="6"/>
      <c r="AA62" s="68"/>
      <c r="AB62" s="68"/>
      <c r="AC62" s="6"/>
      <c r="AD62" s="95"/>
      <c r="AE62" s="99"/>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row>
    <row r="63" spans="1:252" s="96" customFormat="1" ht="15" hidden="1">
      <c r="A63" s="6"/>
      <c r="B63" s="57"/>
      <c r="C63" s="57"/>
      <c r="D63" s="57"/>
      <c r="E63" s="57"/>
      <c r="F63" s="57"/>
      <c r="G63" s="57"/>
      <c r="H63" s="57"/>
      <c r="I63" s="57"/>
      <c r="J63" s="57"/>
      <c r="K63" s="57"/>
      <c r="L63" s="57"/>
      <c r="M63" s="57"/>
      <c r="N63" s="57"/>
      <c r="O63" s="57"/>
      <c r="P63" s="24"/>
      <c r="Q63" s="24"/>
      <c r="R63" s="6"/>
      <c r="S63" s="6"/>
      <c r="T63" s="6"/>
      <c r="U63" s="6"/>
      <c r="V63" s="6"/>
      <c r="W63" s="6"/>
      <c r="X63" s="6"/>
      <c r="Y63" s="6"/>
      <c r="Z63" s="6"/>
      <c r="AA63" s="68"/>
      <c r="AB63" s="68"/>
      <c r="AC63" s="6"/>
      <c r="AD63" s="95"/>
      <c r="AE63" s="99"/>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row>
    <row r="64" spans="1:252" s="96" customFormat="1" ht="15" hidden="1">
      <c r="A64" s="6"/>
      <c r="B64" s="57"/>
      <c r="C64" s="57"/>
      <c r="D64" s="57"/>
      <c r="E64" s="57"/>
      <c r="F64" s="57"/>
      <c r="G64" s="57"/>
      <c r="H64" s="57"/>
      <c r="I64" s="57"/>
      <c r="J64" s="57"/>
      <c r="K64" s="57"/>
      <c r="L64" s="57"/>
      <c r="M64" s="57"/>
      <c r="N64" s="57"/>
      <c r="O64" s="57"/>
      <c r="P64" s="24"/>
      <c r="Q64" s="24"/>
      <c r="R64" s="6"/>
      <c r="S64" s="6"/>
      <c r="T64" s="6"/>
      <c r="U64" s="6"/>
      <c r="V64" s="6"/>
      <c r="W64" s="6"/>
      <c r="X64" s="6"/>
      <c r="Y64" s="6"/>
      <c r="Z64" s="6"/>
      <c r="AA64" s="68"/>
      <c r="AB64" s="68"/>
      <c r="AC64" s="6"/>
      <c r="AD64" s="95"/>
      <c r="AE64" s="99"/>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row>
    <row r="65" spans="1:252" s="96" customFormat="1" ht="15" hidden="1">
      <c r="A65" s="6"/>
      <c r="B65" s="57"/>
      <c r="C65" s="57"/>
      <c r="D65" s="57"/>
      <c r="E65" s="57"/>
      <c r="F65" s="57"/>
      <c r="G65" s="57"/>
      <c r="H65" s="57"/>
      <c r="I65" s="57"/>
      <c r="J65" s="57"/>
      <c r="K65" s="57"/>
      <c r="L65" s="57"/>
      <c r="M65" s="57"/>
      <c r="N65" s="57"/>
      <c r="O65" s="57"/>
      <c r="P65" s="24"/>
      <c r="Q65" s="24"/>
      <c r="R65" s="6"/>
      <c r="S65" s="6"/>
      <c r="T65" s="6"/>
      <c r="U65" s="6"/>
      <c r="V65" s="6"/>
      <c r="W65" s="6"/>
      <c r="X65" s="6"/>
      <c r="Y65" s="6"/>
      <c r="Z65" s="6"/>
      <c r="AA65" s="68"/>
      <c r="AB65" s="68"/>
      <c r="AC65" s="6"/>
      <c r="AD65" s="95"/>
      <c r="AE65" s="99"/>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row>
    <row r="66" spans="1:252" s="96" customFormat="1" ht="15" hidden="1">
      <c r="A66" s="6"/>
      <c r="B66" s="57"/>
      <c r="C66" s="57"/>
      <c r="D66" s="57"/>
      <c r="E66" s="57"/>
      <c r="F66" s="57"/>
      <c r="G66" s="57"/>
      <c r="H66" s="57"/>
      <c r="I66" s="57"/>
      <c r="J66" s="57"/>
      <c r="K66" s="57"/>
      <c r="L66" s="57"/>
      <c r="M66" s="57"/>
      <c r="N66" s="57"/>
      <c r="O66" s="57"/>
      <c r="P66" s="24"/>
      <c r="Q66" s="24"/>
      <c r="R66" s="6"/>
      <c r="S66" s="6"/>
      <c r="T66" s="6"/>
      <c r="U66" s="6"/>
      <c r="V66" s="6"/>
      <c r="W66" s="6"/>
      <c r="X66" s="6"/>
      <c r="Y66" s="6"/>
      <c r="Z66" s="6"/>
      <c r="AA66" s="68"/>
      <c r="AB66" s="68"/>
      <c r="AC66" s="6"/>
      <c r="AD66" s="95"/>
      <c r="AE66" s="99"/>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row>
    <row r="67" spans="1:252" s="96" customFormat="1" ht="15" hidden="1">
      <c r="A67" s="6"/>
      <c r="B67" s="57"/>
      <c r="C67" s="57"/>
      <c r="D67" s="57"/>
      <c r="E67" s="57"/>
      <c r="F67" s="57"/>
      <c r="G67" s="57"/>
      <c r="H67" s="57"/>
      <c r="I67" s="57"/>
      <c r="J67" s="57"/>
      <c r="K67" s="57"/>
      <c r="L67" s="57"/>
      <c r="M67" s="57"/>
      <c r="N67" s="57"/>
      <c r="O67" s="57"/>
      <c r="P67" s="24"/>
      <c r="Q67" s="24"/>
      <c r="R67" s="6"/>
      <c r="S67" s="6"/>
      <c r="T67" s="6"/>
      <c r="U67" s="6"/>
      <c r="V67" s="6"/>
      <c r="W67" s="6"/>
      <c r="X67" s="6"/>
      <c r="Y67" s="6"/>
      <c r="Z67" s="6"/>
      <c r="AA67" s="68"/>
      <c r="AB67" s="68"/>
      <c r="AC67" s="6"/>
      <c r="AD67" s="95"/>
      <c r="AE67" s="99"/>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row>
    <row r="68" spans="1:252" s="96" customFormat="1" ht="15" hidden="1">
      <c r="A68" s="6"/>
      <c r="B68" s="57"/>
      <c r="C68" s="57"/>
      <c r="D68" s="57"/>
      <c r="E68" s="57"/>
      <c r="F68" s="57"/>
      <c r="G68" s="57"/>
      <c r="H68" s="57"/>
      <c r="I68" s="57"/>
      <c r="J68" s="57"/>
      <c r="K68" s="57"/>
      <c r="L68" s="57"/>
      <c r="M68" s="57"/>
      <c r="N68" s="57"/>
      <c r="O68" s="57"/>
      <c r="P68" s="24"/>
      <c r="Q68" s="24"/>
      <c r="R68" s="6"/>
      <c r="S68" s="6"/>
      <c r="T68" s="6"/>
      <c r="U68" s="6"/>
      <c r="V68" s="6"/>
      <c r="W68" s="6"/>
      <c r="X68" s="6"/>
      <c r="Y68" s="6"/>
      <c r="Z68" s="6"/>
      <c r="AA68" s="68"/>
      <c r="AB68" s="68"/>
      <c r="AC68" s="6"/>
      <c r="AD68" s="95"/>
      <c r="AE68" s="99"/>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row>
    <row r="69" spans="1:252" s="96" customFormat="1" ht="15" hidden="1">
      <c r="A69" s="6"/>
      <c r="B69" s="57"/>
      <c r="C69" s="57"/>
      <c r="D69" s="57"/>
      <c r="E69" s="57"/>
      <c r="F69" s="57"/>
      <c r="G69" s="57"/>
      <c r="H69" s="57"/>
      <c r="I69" s="57"/>
      <c r="J69" s="57"/>
      <c r="K69" s="57"/>
      <c r="L69" s="57"/>
      <c r="M69" s="57"/>
      <c r="N69" s="57"/>
      <c r="O69" s="57"/>
      <c r="P69" s="24"/>
      <c r="Q69" s="24"/>
      <c r="R69" s="6"/>
      <c r="S69" s="6"/>
      <c r="T69" s="6"/>
      <c r="U69" s="6"/>
      <c r="V69" s="6"/>
      <c r="W69" s="6"/>
      <c r="X69" s="6"/>
      <c r="Y69" s="6"/>
      <c r="Z69" s="6"/>
      <c r="AA69" s="68"/>
      <c r="AB69" s="68"/>
      <c r="AC69" s="6"/>
      <c r="AD69" s="95"/>
      <c r="AE69" s="99"/>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row>
    <row r="70" spans="1:252" s="96" customFormat="1" ht="15" hidden="1">
      <c r="A70" s="6"/>
      <c r="B70" s="57"/>
      <c r="C70" s="57"/>
      <c r="D70" s="57"/>
      <c r="E70" s="57"/>
      <c r="F70" s="57"/>
      <c r="G70" s="57"/>
      <c r="H70" s="57"/>
      <c r="I70" s="57"/>
      <c r="J70" s="57"/>
      <c r="K70" s="57"/>
      <c r="L70" s="57"/>
      <c r="M70" s="57"/>
      <c r="N70" s="57"/>
      <c r="O70" s="57"/>
      <c r="P70" s="24"/>
      <c r="Q70" s="24"/>
      <c r="R70" s="6"/>
      <c r="S70" s="6"/>
      <c r="T70" s="6"/>
      <c r="U70" s="6"/>
      <c r="V70" s="6"/>
      <c r="W70" s="6"/>
      <c r="X70" s="6"/>
      <c r="Y70" s="6"/>
      <c r="Z70" s="6"/>
      <c r="AA70" s="68"/>
      <c r="AB70" s="68"/>
      <c r="AC70" s="6"/>
      <c r="AD70" s="95"/>
      <c r="AE70" s="99"/>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row>
    <row r="71" spans="1:252" s="96" customFormat="1" ht="15" hidden="1">
      <c r="A71" s="6"/>
      <c r="B71" s="57"/>
      <c r="C71" s="57"/>
      <c r="D71" s="57"/>
      <c r="E71" s="57"/>
      <c r="F71" s="57"/>
      <c r="G71" s="57"/>
      <c r="H71" s="57"/>
      <c r="I71" s="57"/>
      <c r="J71" s="57"/>
      <c r="K71" s="57"/>
      <c r="L71" s="57"/>
      <c r="M71" s="57"/>
      <c r="N71" s="57"/>
      <c r="O71" s="57"/>
      <c r="P71" s="24"/>
      <c r="Q71" s="24"/>
      <c r="R71" s="6"/>
      <c r="S71" s="6"/>
      <c r="T71" s="6"/>
      <c r="U71" s="6"/>
      <c r="V71" s="6"/>
      <c r="W71" s="6"/>
      <c r="X71" s="6"/>
      <c r="Y71" s="6"/>
      <c r="Z71" s="6"/>
      <c r="AA71" s="68"/>
      <c r="AB71" s="68"/>
      <c r="AC71" s="6"/>
      <c r="AD71" s="95"/>
      <c r="AE71" s="99"/>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row>
    <row r="72" spans="1:252" s="96" customFormat="1" ht="15" hidden="1">
      <c r="A72" s="6"/>
      <c r="B72" s="57"/>
      <c r="C72" s="57"/>
      <c r="D72" s="57"/>
      <c r="E72" s="57"/>
      <c r="F72" s="57"/>
      <c r="G72" s="57"/>
      <c r="H72" s="57"/>
      <c r="I72" s="57"/>
      <c r="J72" s="57"/>
      <c r="K72" s="57"/>
      <c r="L72" s="57"/>
      <c r="M72" s="57"/>
      <c r="N72" s="57"/>
      <c r="O72" s="57"/>
      <c r="P72" s="24"/>
      <c r="Q72" s="24"/>
      <c r="R72" s="6"/>
      <c r="S72" s="6"/>
      <c r="T72" s="6"/>
      <c r="U72" s="6"/>
      <c r="V72" s="6"/>
      <c r="W72" s="6"/>
      <c r="X72" s="6"/>
      <c r="Y72" s="6"/>
      <c r="Z72" s="6"/>
      <c r="AA72" s="68"/>
      <c r="AB72" s="68"/>
      <c r="AC72" s="6"/>
      <c r="AD72" s="95"/>
      <c r="AE72" s="99"/>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row>
    <row r="73" spans="1:252" s="96" customFormat="1" ht="15" hidden="1">
      <c r="A73" s="6"/>
      <c r="B73" s="57"/>
      <c r="C73" s="57"/>
      <c r="D73" s="57"/>
      <c r="E73" s="57"/>
      <c r="F73" s="57"/>
      <c r="G73" s="57"/>
      <c r="H73" s="57"/>
      <c r="I73" s="57"/>
      <c r="J73" s="57"/>
      <c r="K73" s="57"/>
      <c r="L73" s="57"/>
      <c r="M73" s="57"/>
      <c r="N73" s="57"/>
      <c r="O73" s="57"/>
      <c r="P73" s="24"/>
      <c r="Q73" s="24"/>
      <c r="R73" s="6"/>
      <c r="S73" s="6"/>
      <c r="T73" s="6"/>
      <c r="U73" s="6"/>
      <c r="V73" s="6"/>
      <c r="W73" s="6"/>
      <c r="X73" s="6"/>
      <c r="Y73" s="6"/>
      <c r="Z73" s="6"/>
      <c r="AA73" s="68"/>
      <c r="AB73" s="68"/>
      <c r="AC73" s="6"/>
      <c r="AD73" s="95"/>
      <c r="AE73" s="99"/>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c r="HR73" s="3"/>
      <c r="HS73" s="3"/>
      <c r="HT73" s="3"/>
      <c r="HU73" s="3"/>
      <c r="HV73" s="3"/>
      <c r="HW73" s="3"/>
      <c r="HX73" s="3"/>
      <c r="HY73" s="3"/>
      <c r="HZ73" s="3"/>
      <c r="IA73" s="3"/>
      <c r="IB73" s="3"/>
      <c r="IC73" s="3"/>
      <c r="ID73" s="3"/>
      <c r="IE73" s="3"/>
      <c r="IF73" s="3"/>
      <c r="IG73" s="3"/>
      <c r="IH73" s="3"/>
      <c r="II73" s="3"/>
      <c r="IJ73" s="3"/>
      <c r="IK73" s="3"/>
      <c r="IL73" s="3"/>
      <c r="IM73" s="3"/>
      <c r="IN73" s="3"/>
      <c r="IO73" s="3"/>
      <c r="IP73" s="3"/>
      <c r="IQ73" s="3"/>
      <c r="IR73" s="3"/>
    </row>
    <row r="74" spans="1:252" s="96" customFormat="1" ht="15" hidden="1">
      <c r="A74" s="6"/>
      <c r="B74" s="57"/>
      <c r="C74" s="57"/>
      <c r="D74" s="57"/>
      <c r="E74" s="57"/>
      <c r="F74" s="57"/>
      <c r="G74" s="57"/>
      <c r="H74" s="57"/>
      <c r="I74" s="57"/>
      <c r="J74" s="57"/>
      <c r="K74" s="57"/>
      <c r="L74" s="57"/>
      <c r="M74" s="57"/>
      <c r="N74" s="57"/>
      <c r="O74" s="57"/>
      <c r="P74" s="24"/>
      <c r="Q74" s="24"/>
      <c r="R74" s="6"/>
      <c r="S74" s="6"/>
      <c r="T74" s="6"/>
      <c r="U74" s="6"/>
      <c r="V74" s="6"/>
      <c r="W74" s="6"/>
      <c r="X74" s="6"/>
      <c r="Y74" s="6"/>
      <c r="Z74" s="6"/>
      <c r="AA74" s="68"/>
      <c r="AB74" s="68"/>
      <c r="AC74" s="6"/>
      <c r="AD74" s="95"/>
      <c r="AE74" s="99"/>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row>
    <row r="75" spans="1:252" s="96" customFormat="1" ht="15" hidden="1">
      <c r="A75" s="6"/>
      <c r="B75" s="57"/>
      <c r="C75" s="57"/>
      <c r="D75" s="57"/>
      <c r="E75" s="57"/>
      <c r="F75" s="57"/>
      <c r="G75" s="57"/>
      <c r="H75" s="57"/>
      <c r="I75" s="57"/>
      <c r="J75" s="57"/>
      <c r="K75" s="57"/>
      <c r="L75" s="57"/>
      <c r="M75" s="57"/>
      <c r="N75" s="57"/>
      <c r="O75" s="57"/>
      <c r="P75" s="24"/>
      <c r="Q75" s="24"/>
      <c r="R75" s="6"/>
      <c r="S75" s="6"/>
      <c r="T75" s="6"/>
      <c r="U75" s="6"/>
      <c r="V75" s="6"/>
      <c r="W75" s="6"/>
      <c r="X75" s="6"/>
      <c r="Y75" s="6"/>
      <c r="Z75" s="6"/>
      <c r="AA75" s="68"/>
      <c r="AB75" s="68"/>
      <c r="AC75" s="6"/>
      <c r="AD75" s="95"/>
      <c r="AE75" s="99"/>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row>
    <row r="76" spans="1:252" s="96" customFormat="1" ht="15" hidden="1">
      <c r="A76" s="6"/>
      <c r="B76" s="57"/>
      <c r="C76" s="57"/>
      <c r="D76" s="57"/>
      <c r="E76" s="57"/>
      <c r="F76" s="57"/>
      <c r="G76" s="57"/>
      <c r="H76" s="57"/>
      <c r="I76" s="57"/>
      <c r="J76" s="57"/>
      <c r="K76" s="57"/>
      <c r="L76" s="57"/>
      <c r="M76" s="57"/>
      <c r="N76" s="57"/>
      <c r="O76" s="57"/>
      <c r="P76" s="24"/>
      <c r="Q76" s="24"/>
      <c r="R76" s="6"/>
      <c r="S76" s="6"/>
      <c r="T76" s="6"/>
      <c r="U76" s="6"/>
      <c r="V76" s="6"/>
      <c r="W76" s="6"/>
      <c r="X76" s="6"/>
      <c r="Y76" s="6"/>
      <c r="Z76" s="6"/>
      <c r="AA76" s="68"/>
      <c r="AB76" s="68"/>
      <c r="AC76" s="6"/>
      <c r="AD76" s="95"/>
      <c r="AE76" s="99"/>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row>
    <row r="77" spans="1:252" s="96" customFormat="1" ht="15" hidden="1">
      <c r="A77" s="6"/>
      <c r="B77" s="57"/>
      <c r="C77" s="57"/>
      <c r="D77" s="57"/>
      <c r="E77" s="57"/>
      <c r="F77" s="57"/>
      <c r="G77" s="57"/>
      <c r="H77" s="57"/>
      <c r="I77" s="57"/>
      <c r="J77" s="57"/>
      <c r="K77" s="57"/>
      <c r="L77" s="57"/>
      <c r="M77" s="57"/>
      <c r="N77" s="57"/>
      <c r="O77" s="57"/>
      <c r="P77" s="24"/>
      <c r="Q77" s="24"/>
      <c r="R77" s="6"/>
      <c r="S77" s="6"/>
      <c r="T77" s="6"/>
      <c r="U77" s="6"/>
      <c r="V77" s="6"/>
      <c r="W77" s="6"/>
      <c r="X77" s="6"/>
      <c r="Y77" s="6"/>
      <c r="Z77" s="6"/>
      <c r="AA77" s="68"/>
      <c r="AB77" s="68"/>
      <c r="AC77" s="6"/>
      <c r="AD77" s="95"/>
      <c r="AE77" s="99"/>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c r="HF77" s="3"/>
      <c r="HG77" s="3"/>
      <c r="HH77" s="3"/>
      <c r="HI77" s="3"/>
      <c r="HJ77" s="3"/>
      <c r="HK77" s="3"/>
      <c r="HL77" s="3"/>
      <c r="HM77" s="3"/>
      <c r="HN77" s="3"/>
      <c r="HO77" s="3"/>
      <c r="HP77" s="3"/>
      <c r="HQ77" s="3"/>
      <c r="HR77" s="3"/>
      <c r="HS77" s="3"/>
      <c r="HT77" s="3"/>
      <c r="HU77" s="3"/>
      <c r="HV77" s="3"/>
      <c r="HW77" s="3"/>
      <c r="HX77" s="3"/>
      <c r="HY77" s="3"/>
      <c r="HZ77" s="3"/>
      <c r="IA77" s="3"/>
      <c r="IB77" s="3"/>
      <c r="IC77" s="3"/>
      <c r="ID77" s="3"/>
      <c r="IE77" s="3"/>
      <c r="IF77" s="3"/>
      <c r="IG77" s="3"/>
      <c r="IH77" s="3"/>
      <c r="II77" s="3"/>
      <c r="IJ77" s="3"/>
      <c r="IK77" s="3"/>
      <c r="IL77" s="3"/>
      <c r="IM77" s="3"/>
      <c r="IN77" s="3"/>
      <c r="IO77" s="3"/>
      <c r="IP77" s="3"/>
      <c r="IQ77" s="3"/>
      <c r="IR77" s="3"/>
    </row>
    <row r="78" spans="1:252" s="96" customFormat="1" ht="15" hidden="1">
      <c r="A78" s="6"/>
      <c r="B78" s="57"/>
      <c r="C78" s="57"/>
      <c r="D78" s="57"/>
      <c r="E78" s="57"/>
      <c r="F78" s="57"/>
      <c r="G78" s="57"/>
      <c r="H78" s="57"/>
      <c r="I78" s="57"/>
      <c r="J78" s="57"/>
      <c r="K78" s="57"/>
      <c r="L78" s="57"/>
      <c r="M78" s="57"/>
      <c r="N78" s="57"/>
      <c r="O78" s="57"/>
      <c r="P78" s="24"/>
      <c r="Q78" s="24"/>
      <c r="R78" s="6"/>
      <c r="S78" s="6"/>
      <c r="T78" s="6"/>
      <c r="U78" s="6"/>
      <c r="V78" s="6"/>
      <c r="W78" s="6"/>
      <c r="X78" s="6"/>
      <c r="Y78" s="6"/>
      <c r="Z78" s="6"/>
      <c r="AA78" s="68"/>
      <c r="AB78" s="68"/>
      <c r="AC78" s="6"/>
      <c r="AD78" s="95"/>
      <c r="AE78" s="99"/>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c r="HF78" s="3"/>
      <c r="HG78" s="3"/>
      <c r="HH78" s="3"/>
      <c r="HI78" s="3"/>
      <c r="HJ78" s="3"/>
      <c r="HK78" s="3"/>
      <c r="HL78" s="3"/>
      <c r="HM78" s="3"/>
      <c r="HN78" s="3"/>
      <c r="HO78" s="3"/>
      <c r="HP78" s="3"/>
      <c r="HQ78" s="3"/>
      <c r="HR78" s="3"/>
      <c r="HS78" s="3"/>
      <c r="HT78" s="3"/>
      <c r="HU78" s="3"/>
      <c r="HV78" s="3"/>
      <c r="HW78" s="3"/>
      <c r="HX78" s="3"/>
      <c r="HY78" s="3"/>
      <c r="HZ78" s="3"/>
      <c r="IA78" s="3"/>
      <c r="IB78" s="3"/>
      <c r="IC78" s="3"/>
      <c r="ID78" s="3"/>
      <c r="IE78" s="3"/>
      <c r="IF78" s="3"/>
      <c r="IG78" s="3"/>
      <c r="IH78" s="3"/>
      <c r="II78" s="3"/>
      <c r="IJ78" s="3"/>
      <c r="IK78" s="3"/>
      <c r="IL78" s="3"/>
      <c r="IM78" s="3"/>
      <c r="IN78" s="3"/>
      <c r="IO78" s="3"/>
      <c r="IP78" s="3"/>
      <c r="IQ78" s="3"/>
      <c r="IR78" s="3"/>
    </row>
    <row r="79" spans="1:252" s="96" customFormat="1" ht="15" hidden="1">
      <c r="A79" s="6"/>
      <c r="B79" s="57"/>
      <c r="C79" s="57"/>
      <c r="D79" s="57"/>
      <c r="E79" s="57"/>
      <c r="F79" s="57"/>
      <c r="G79" s="57"/>
      <c r="H79" s="57"/>
      <c r="I79" s="57"/>
      <c r="J79" s="57"/>
      <c r="K79" s="57"/>
      <c r="L79" s="57"/>
      <c r="M79" s="57"/>
      <c r="N79" s="57"/>
      <c r="O79" s="57"/>
      <c r="P79" s="24"/>
      <c r="Q79" s="24"/>
      <c r="R79" s="6"/>
      <c r="S79" s="6"/>
      <c r="T79" s="6"/>
      <c r="U79" s="6"/>
      <c r="V79" s="6"/>
      <c r="W79" s="6"/>
      <c r="X79" s="6"/>
      <c r="Y79" s="6"/>
      <c r="Z79" s="6"/>
      <c r="AA79" s="68"/>
      <c r="AB79" s="68"/>
      <c r="AC79" s="6"/>
      <c r="AD79" s="95"/>
      <c r="AE79" s="99"/>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c r="HF79" s="3"/>
      <c r="HG79" s="3"/>
      <c r="HH79" s="3"/>
      <c r="HI79" s="3"/>
      <c r="HJ79" s="3"/>
      <c r="HK79" s="3"/>
      <c r="HL79" s="3"/>
      <c r="HM79" s="3"/>
      <c r="HN79" s="3"/>
      <c r="HO79" s="3"/>
      <c r="HP79" s="3"/>
      <c r="HQ79" s="3"/>
      <c r="HR79" s="3"/>
      <c r="HS79" s="3"/>
      <c r="HT79" s="3"/>
      <c r="HU79" s="3"/>
      <c r="HV79" s="3"/>
      <c r="HW79" s="3"/>
      <c r="HX79" s="3"/>
      <c r="HY79" s="3"/>
      <c r="HZ79" s="3"/>
      <c r="IA79" s="3"/>
      <c r="IB79" s="3"/>
      <c r="IC79" s="3"/>
      <c r="ID79" s="3"/>
      <c r="IE79" s="3"/>
      <c r="IF79" s="3"/>
      <c r="IG79" s="3"/>
      <c r="IH79" s="3"/>
      <c r="II79" s="3"/>
      <c r="IJ79" s="3"/>
      <c r="IK79" s="3"/>
      <c r="IL79" s="3"/>
      <c r="IM79" s="3"/>
      <c r="IN79" s="3"/>
      <c r="IO79" s="3"/>
      <c r="IP79" s="3"/>
      <c r="IQ79" s="3"/>
      <c r="IR79" s="3"/>
    </row>
    <row r="80" spans="1:252" s="96" customFormat="1" ht="15" hidden="1">
      <c r="A80" s="6"/>
      <c r="B80" s="57"/>
      <c r="C80" s="57"/>
      <c r="D80" s="57"/>
      <c r="E80" s="57"/>
      <c r="F80" s="57"/>
      <c r="G80" s="57"/>
      <c r="H80" s="57"/>
      <c r="I80" s="57"/>
      <c r="J80" s="57"/>
      <c r="K80" s="57"/>
      <c r="L80" s="57"/>
      <c r="M80" s="57"/>
      <c r="N80" s="57"/>
      <c r="O80" s="57"/>
      <c r="P80" s="24"/>
      <c r="Q80" s="24"/>
      <c r="R80" s="6"/>
      <c r="S80" s="6"/>
      <c r="T80" s="6"/>
      <c r="U80" s="6"/>
      <c r="V80" s="6"/>
      <c r="W80" s="6"/>
      <c r="X80" s="6"/>
      <c r="Y80" s="6"/>
      <c r="Z80" s="6"/>
      <c r="AA80" s="68"/>
      <c r="AB80" s="68"/>
      <c r="AC80" s="6"/>
      <c r="AD80" s="95"/>
      <c r="AE80" s="99"/>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c r="HF80" s="3"/>
      <c r="HG80" s="3"/>
      <c r="HH80" s="3"/>
      <c r="HI80" s="3"/>
      <c r="HJ80" s="3"/>
      <c r="HK80" s="3"/>
      <c r="HL80" s="3"/>
      <c r="HM80" s="3"/>
      <c r="HN80" s="3"/>
      <c r="HO80" s="3"/>
      <c r="HP80" s="3"/>
      <c r="HQ80" s="3"/>
      <c r="HR80" s="3"/>
      <c r="HS80" s="3"/>
      <c r="HT80" s="3"/>
      <c r="HU80" s="3"/>
      <c r="HV80" s="3"/>
      <c r="HW80" s="3"/>
      <c r="HX80" s="3"/>
      <c r="HY80" s="3"/>
      <c r="HZ80" s="3"/>
      <c r="IA80" s="3"/>
      <c r="IB80" s="3"/>
      <c r="IC80" s="3"/>
      <c r="ID80" s="3"/>
      <c r="IE80" s="3"/>
      <c r="IF80" s="3"/>
      <c r="IG80" s="3"/>
      <c r="IH80" s="3"/>
      <c r="II80" s="3"/>
      <c r="IJ80" s="3"/>
      <c r="IK80" s="3"/>
      <c r="IL80" s="3"/>
      <c r="IM80" s="3"/>
      <c r="IN80" s="3"/>
      <c r="IO80" s="3"/>
      <c r="IP80" s="3"/>
      <c r="IQ80" s="3"/>
      <c r="IR80" s="3"/>
    </row>
  </sheetData>
  <sheetProtection password="EE1F" sheet="1" objects="1" scenarios="1" selectLockedCells="1"/>
  <protectedRanges>
    <protectedRange sqref="M7 F12 I13:M13 F16 E17 I17:M17 L23:P52 C22:C52 F22:H52" name="Eingabebereich"/>
  </protectedRanges>
  <mergeCells count="48">
    <mergeCell ref="K2:L2"/>
    <mergeCell ref="E17:F17"/>
    <mergeCell ref="C60:G60"/>
    <mergeCell ref="L60:P60"/>
    <mergeCell ref="L47:P47"/>
    <mergeCell ref="L48:P48"/>
    <mergeCell ref="L49:P49"/>
    <mergeCell ref="L50:P50"/>
    <mergeCell ref="L51:P51"/>
    <mergeCell ref="L39:P39"/>
    <mergeCell ref="L36:P36"/>
    <mergeCell ref="L37:P37"/>
    <mergeCell ref="L38:P38"/>
    <mergeCell ref="L40:P40"/>
    <mergeCell ref="L52:P52"/>
    <mergeCell ref="L46:P46"/>
    <mergeCell ref="L45:P45"/>
    <mergeCell ref="L31:P31"/>
    <mergeCell ref="L32:P32"/>
    <mergeCell ref="L33:P33"/>
    <mergeCell ref="L34:P34"/>
    <mergeCell ref="L35:P35"/>
    <mergeCell ref="L29:P29"/>
    <mergeCell ref="L30:P30"/>
    <mergeCell ref="L42:P42"/>
    <mergeCell ref="L43:P43"/>
    <mergeCell ref="L44:P44"/>
    <mergeCell ref="L24:P24"/>
    <mergeCell ref="L25:P25"/>
    <mergeCell ref="L26:P26"/>
    <mergeCell ref="L27:P27"/>
    <mergeCell ref="L28:P28"/>
    <mergeCell ref="L22:P22"/>
    <mergeCell ref="E9:O9"/>
    <mergeCell ref="K55:O55"/>
    <mergeCell ref="B2:H2"/>
    <mergeCell ref="I2:J2"/>
    <mergeCell ref="E5:H5"/>
    <mergeCell ref="E7:H7"/>
    <mergeCell ref="M5:O5"/>
    <mergeCell ref="C20:E20"/>
    <mergeCell ref="F20:H20"/>
    <mergeCell ref="I20:K20"/>
    <mergeCell ref="L20:P20"/>
    <mergeCell ref="M7:O7"/>
    <mergeCell ref="L21:P21"/>
    <mergeCell ref="L41:P41"/>
    <mergeCell ref="L23:P23"/>
  </mergeCells>
  <conditionalFormatting sqref="K23:L39 K40:K43 K44:L52 C23:J52 C22:K22">
    <cfRule type="expression" dxfId="2289" priority="227" stopIfTrue="1">
      <formula>OR(($A22="Samstag"),($A22="Sonntag"),($AA22=TRUE()))</formula>
    </cfRule>
  </conditionalFormatting>
  <conditionalFormatting sqref="B22:B52">
    <cfRule type="expression" dxfId="2288" priority="90" stopIfTrue="1">
      <formula>$AA22=TRUE()</formula>
    </cfRule>
    <cfRule type="expression" dxfId="2287" priority="97" stopIfTrue="1">
      <formula>OR(($A22="Samstag"),($A22="Sonntag"))</formula>
    </cfRule>
    <cfRule type="expression" dxfId="2286" priority="99" stopIfTrue="1">
      <formula>AND($E$17&lt;&gt;"",$B22&gt;=$E$17)</formula>
    </cfRule>
  </conditionalFormatting>
  <conditionalFormatting sqref="F32:H32 L23:L39">
    <cfRule type="expression" dxfId="2285" priority="223" stopIfTrue="1">
      <formula>OR(($A23="Samstag"),($A23="Sonntag"))</formula>
    </cfRule>
  </conditionalFormatting>
  <conditionalFormatting sqref="F32:H32">
    <cfRule type="expression" dxfId="2284" priority="222" stopIfTrue="1">
      <formula>OR(($A32="Samstag"),($A32="Sonntag"))</formula>
    </cfRule>
  </conditionalFormatting>
  <conditionalFormatting sqref="F52:H52">
    <cfRule type="expression" dxfId="2283" priority="211" stopIfTrue="1">
      <formula>OR(($A52="Samstag"),($A52="Sonntag"))</formula>
    </cfRule>
  </conditionalFormatting>
  <conditionalFormatting sqref="F52:H52">
    <cfRule type="expression" dxfId="2282" priority="210" stopIfTrue="1">
      <formula>OR(($A52="Samstag"),($A52="Sonntag"))</formula>
    </cfRule>
  </conditionalFormatting>
  <conditionalFormatting sqref="F46:H46">
    <cfRule type="expression" dxfId="2281" priority="214" stopIfTrue="1">
      <formula>OR(($A46="Samstag"),($A46="Sonntag"))</formula>
    </cfRule>
  </conditionalFormatting>
  <conditionalFormatting sqref="F32:H32">
    <cfRule type="expression" dxfId="2280" priority="218" stopIfTrue="1">
      <formula>OR(($A32="Samstag"),($A32="Sonntag"))</formula>
    </cfRule>
  </conditionalFormatting>
  <conditionalFormatting sqref="F24:H25">
    <cfRule type="expression" dxfId="2279" priority="221" stopIfTrue="1">
      <formula>OR(($A24="Samstag"),($A24="Sonntag"))</formula>
    </cfRule>
  </conditionalFormatting>
  <conditionalFormatting sqref="F24:H24">
    <cfRule type="expression" dxfId="2278" priority="220" stopIfTrue="1">
      <formula>OR(($A24="Samstag"),($A24="Sonntag"))</formula>
    </cfRule>
  </conditionalFormatting>
  <conditionalFormatting sqref="F25:H25">
    <cfRule type="expression" dxfId="2277" priority="219" stopIfTrue="1">
      <formula>OR(($A25="Samstag"),($A25="Sonntag"))</formula>
    </cfRule>
  </conditionalFormatting>
  <conditionalFormatting sqref="F39:H39">
    <cfRule type="expression" dxfId="2276" priority="216" stopIfTrue="1">
      <formula>OR(($A39="Samstag"),($A39="Sonntag"))</formula>
    </cfRule>
  </conditionalFormatting>
  <conditionalFormatting sqref="F39:H39">
    <cfRule type="expression" dxfId="2275" priority="217" stopIfTrue="1">
      <formula>OR(($A39="Samstag"),($A39="Sonntag"))</formula>
    </cfRule>
  </conditionalFormatting>
  <conditionalFormatting sqref="F39:H39">
    <cfRule type="expression" dxfId="2274" priority="215" stopIfTrue="1">
      <formula>OR(($A39="Samstag"),($A39="Sonntag"))</formula>
    </cfRule>
  </conditionalFormatting>
  <conditionalFormatting sqref="F46:H46">
    <cfRule type="expression" dxfId="2273" priority="213" stopIfTrue="1">
      <formula>OR(($A46="Samstag"),($A46="Sonntag"))</formula>
    </cfRule>
  </conditionalFormatting>
  <conditionalFormatting sqref="F46:H46">
    <cfRule type="expression" dxfId="2272" priority="212" stopIfTrue="1">
      <formula>OR(($A46="Samstag"),($A46="Sonntag"))</formula>
    </cfRule>
  </conditionalFormatting>
  <conditionalFormatting sqref="F22:H52">
    <cfRule type="expression" dxfId="2271" priority="209" stopIfTrue="1">
      <formula>OR(($A22="Samstag"),($A22="Sonntag"))</formula>
    </cfRule>
  </conditionalFormatting>
  <conditionalFormatting sqref="F22:H52">
    <cfRule type="expression" dxfId="2270" priority="208" stopIfTrue="1">
      <formula>OR(($A22="Samstag"),($A22="Sonntag"))</formula>
    </cfRule>
  </conditionalFormatting>
  <conditionalFormatting sqref="G22:G23">
    <cfRule type="expression" dxfId="2269" priority="207" stopIfTrue="1">
      <formula>OR(($A22="Samstag"),($A22="Sonntag"))</formula>
    </cfRule>
  </conditionalFormatting>
  <conditionalFormatting sqref="G22:G23">
    <cfRule type="expression" dxfId="2268" priority="206" stopIfTrue="1">
      <formula>OR(($A22="Samstag"),($A22="Sonntag"))</formula>
    </cfRule>
  </conditionalFormatting>
  <conditionalFormatting sqref="F31:H31">
    <cfRule type="expression" dxfId="2267" priority="205" stopIfTrue="1">
      <formula>OR(($A31="Samstag"),($A31="Sonntag"))</formula>
    </cfRule>
  </conditionalFormatting>
  <conditionalFormatting sqref="F31:H31">
    <cfRule type="expression" dxfId="2266" priority="204" stopIfTrue="1">
      <formula>OR(($A31="Samstag"),($A31="Sonntag"))</formula>
    </cfRule>
  </conditionalFormatting>
  <conditionalFormatting sqref="F38:H38">
    <cfRule type="expression" dxfId="2265" priority="203" stopIfTrue="1">
      <formula>OR(($A38="Samstag"),($A38="Sonntag"))</formula>
    </cfRule>
  </conditionalFormatting>
  <conditionalFormatting sqref="F38:H38">
    <cfRule type="expression" dxfId="2264" priority="202" stopIfTrue="1">
      <formula>OR(($A38="Samstag"),($A38="Sonntag"))</formula>
    </cfRule>
  </conditionalFormatting>
  <conditionalFormatting sqref="F45:H45">
    <cfRule type="expression" dxfId="2263" priority="201" stopIfTrue="1">
      <formula>OR(($A45="Samstag"),($A45="Sonntag"))</formula>
    </cfRule>
  </conditionalFormatting>
  <conditionalFormatting sqref="F45:H45">
    <cfRule type="expression" dxfId="2262" priority="200" stopIfTrue="1">
      <formula>OR(($A45="Samstag"),($A45="Sonntag"))</formula>
    </cfRule>
  </conditionalFormatting>
  <conditionalFormatting sqref="G26:G30">
    <cfRule type="expression" dxfId="2261" priority="199" stopIfTrue="1">
      <formula>OR(($A26="Samstag"),($A26="Sonntag"))</formula>
    </cfRule>
  </conditionalFormatting>
  <conditionalFormatting sqref="G26:G30">
    <cfRule type="expression" dxfId="2260" priority="198" stopIfTrue="1">
      <formula>OR(($A26="Samstag"),($A26="Sonntag"))</formula>
    </cfRule>
  </conditionalFormatting>
  <conditionalFormatting sqref="G33:G37">
    <cfRule type="expression" dxfId="2259" priority="197" stopIfTrue="1">
      <formula>OR(($A33="Samstag"),($A33="Sonntag"))</formula>
    </cfRule>
  </conditionalFormatting>
  <conditionalFormatting sqref="G33:G37">
    <cfRule type="expression" dxfId="2258" priority="196" stopIfTrue="1">
      <formula>OR(($A33="Samstag"),($A33="Sonntag"))</formula>
    </cfRule>
  </conditionalFormatting>
  <conditionalFormatting sqref="G40:G44">
    <cfRule type="expression" dxfId="2257" priority="195" stopIfTrue="1">
      <formula>OR(($A40="Samstag"),($A40="Sonntag"))</formula>
    </cfRule>
  </conditionalFormatting>
  <conditionalFormatting sqref="G40:G44">
    <cfRule type="expression" dxfId="2256" priority="194" stopIfTrue="1">
      <formula>OR(($A40="Samstag"),($A40="Sonntag"))</formula>
    </cfRule>
  </conditionalFormatting>
  <conditionalFormatting sqref="G47:G51">
    <cfRule type="expression" dxfId="2255" priority="193" stopIfTrue="1">
      <formula>OR(($A47="Samstag"),($A47="Sonntag"))</formula>
    </cfRule>
  </conditionalFormatting>
  <conditionalFormatting sqref="G47:G51">
    <cfRule type="expression" dxfId="2254" priority="192" stopIfTrue="1">
      <formula>OR(($A47="Samstag"),($A47="Sonntag"))</formula>
    </cfRule>
  </conditionalFormatting>
  <conditionalFormatting sqref="F22:H23">
    <cfRule type="expression" dxfId="2253" priority="191" stopIfTrue="1">
      <formula>OR(($A22="Samstag"),($A22="Sonntag"))</formula>
    </cfRule>
  </conditionalFormatting>
  <conditionalFormatting sqref="F22:H23">
    <cfRule type="expression" dxfId="2252" priority="190" stopIfTrue="1">
      <formula>OR(($A22="Samstag"),($A22="Sonntag"))</formula>
    </cfRule>
  </conditionalFormatting>
  <conditionalFormatting sqref="F26:H30">
    <cfRule type="expression" dxfId="2251" priority="189" stopIfTrue="1">
      <formula>OR(($A26="Samstag"),($A26="Sonntag"))</formula>
    </cfRule>
  </conditionalFormatting>
  <conditionalFormatting sqref="F26:H30">
    <cfRule type="expression" dxfId="2250" priority="188" stopIfTrue="1">
      <formula>OR(($A26="Samstag"),($A26="Sonntag"))</formula>
    </cfRule>
  </conditionalFormatting>
  <conditionalFormatting sqref="F33:H37">
    <cfRule type="expression" dxfId="2249" priority="187" stopIfTrue="1">
      <formula>OR(($A33="Samstag"),($A33="Sonntag"))</formula>
    </cfRule>
  </conditionalFormatting>
  <conditionalFormatting sqref="F33:H37">
    <cfRule type="expression" dxfId="2248" priority="186" stopIfTrue="1">
      <formula>OR(($A33="Samstag"),($A33="Sonntag"))</formula>
    </cfRule>
  </conditionalFormatting>
  <conditionalFormatting sqref="F40:H44">
    <cfRule type="expression" dxfId="2247" priority="185" stopIfTrue="1">
      <formula>OR(($A40="Samstag"),($A40="Sonntag"))</formula>
    </cfRule>
  </conditionalFormatting>
  <conditionalFormatting sqref="F40:H44">
    <cfRule type="expression" dxfId="2246" priority="184" stopIfTrue="1">
      <formula>OR(($A40="Samstag"),($A40="Sonntag"))</formula>
    </cfRule>
  </conditionalFormatting>
  <conditionalFormatting sqref="H40:H44">
    <cfRule type="expression" dxfId="2245" priority="175" stopIfTrue="1">
      <formula>OR(($A40="Samstag"),($A40="Sonntag"))</formula>
    </cfRule>
  </conditionalFormatting>
  <conditionalFormatting sqref="H40:H44">
    <cfRule type="expression" dxfId="2244" priority="174" stopIfTrue="1">
      <formula>OR(($A40="Samstag"),($A40="Sonntag"))</formula>
    </cfRule>
  </conditionalFormatting>
  <conditionalFormatting sqref="F47:H51">
    <cfRule type="expression" dxfId="2243" priority="183" stopIfTrue="1">
      <formula>OR(($A47="Samstag"),($A47="Sonntag"))</formula>
    </cfRule>
  </conditionalFormatting>
  <conditionalFormatting sqref="F47:H51">
    <cfRule type="expression" dxfId="2242" priority="182" stopIfTrue="1">
      <formula>OR(($A47="Samstag"),($A47="Sonntag"))</formula>
    </cfRule>
  </conditionalFormatting>
  <conditionalFormatting sqref="H22:H23">
    <cfRule type="expression" dxfId="2241" priority="181" stopIfTrue="1">
      <formula>OR(($A22="Samstag"),($A22="Sonntag"))</formula>
    </cfRule>
  </conditionalFormatting>
  <conditionalFormatting sqref="H22:H23">
    <cfRule type="expression" dxfId="2240" priority="180" stopIfTrue="1">
      <formula>OR(($A22="Samstag"),($A22="Sonntag"))</formula>
    </cfRule>
  </conditionalFormatting>
  <conditionalFormatting sqref="H26:H30">
    <cfRule type="expression" dxfId="2239" priority="179" stopIfTrue="1">
      <formula>OR(($A26="Samstag"),($A26="Sonntag"))</formula>
    </cfRule>
  </conditionalFormatting>
  <conditionalFormatting sqref="H26:H30">
    <cfRule type="expression" dxfId="2238" priority="178" stopIfTrue="1">
      <formula>OR(($A26="Samstag"),($A26="Sonntag"))</formula>
    </cfRule>
  </conditionalFormatting>
  <conditionalFormatting sqref="H33:H37">
    <cfRule type="expression" dxfId="2237" priority="177" stopIfTrue="1">
      <formula>OR(($A33="Samstag"),($A33="Sonntag"))</formula>
    </cfRule>
  </conditionalFormatting>
  <conditionalFormatting sqref="H33:H37">
    <cfRule type="expression" dxfId="2236" priority="176" stopIfTrue="1">
      <formula>OR(($A33="Samstag"),($A33="Sonntag"))</formula>
    </cfRule>
  </conditionalFormatting>
  <conditionalFormatting sqref="H47:H51">
    <cfRule type="expression" dxfId="2235" priority="173" stopIfTrue="1">
      <formula>OR(($A47="Samstag"),($A47="Sonntag"))</formula>
    </cfRule>
  </conditionalFormatting>
  <conditionalFormatting sqref="H47:H51">
    <cfRule type="expression" dxfId="2234" priority="172" stopIfTrue="1">
      <formula>OR(($A47="Samstag"),($A47="Sonntag"))</formula>
    </cfRule>
  </conditionalFormatting>
  <conditionalFormatting sqref="I22:J22 I22:I52 J23:J52">
    <cfRule type="expression" dxfId="2233" priority="157" stopIfTrue="1">
      <formula>OR(($A22="Samstag"),($A22="Sonntag"))</formula>
    </cfRule>
  </conditionalFormatting>
  <conditionalFormatting sqref="I22:J22 I22:I52 J23:J52">
    <cfRule type="expression" dxfId="2232" priority="156" stopIfTrue="1">
      <formula>OR(($A22="Samstag"),($A22="Sonntag"))</formula>
    </cfRule>
  </conditionalFormatting>
  <conditionalFormatting sqref="K32">
    <cfRule type="expression" dxfId="2231" priority="139" stopIfTrue="1">
      <formula>OR(($A32="Samstag"),($A32="Sonntag"))</formula>
    </cfRule>
  </conditionalFormatting>
  <conditionalFormatting sqref="K32">
    <cfRule type="expression" dxfId="2230" priority="138" stopIfTrue="1">
      <formula>OR(($A32="Samstag"),($A32="Sonntag"))</formula>
    </cfRule>
  </conditionalFormatting>
  <conditionalFormatting sqref="K52">
    <cfRule type="expression" dxfId="2229" priority="127" stopIfTrue="1">
      <formula>OR(($A52="Samstag"),($A52="Sonntag"))</formula>
    </cfRule>
  </conditionalFormatting>
  <conditionalFormatting sqref="K52">
    <cfRule type="expression" dxfId="2228" priority="126" stopIfTrue="1">
      <formula>OR(($A52="Samstag"),($A52="Sonntag"))</formula>
    </cfRule>
  </conditionalFormatting>
  <conditionalFormatting sqref="K46">
    <cfRule type="expression" dxfId="2227" priority="130" stopIfTrue="1">
      <formula>OR(($A46="Samstag"),($A46="Sonntag"))</formula>
    </cfRule>
  </conditionalFormatting>
  <conditionalFormatting sqref="K32">
    <cfRule type="expression" dxfId="2226" priority="134" stopIfTrue="1">
      <formula>OR(($A32="Samstag"),($A32="Sonntag"))</formula>
    </cfRule>
  </conditionalFormatting>
  <conditionalFormatting sqref="K24:K25">
    <cfRule type="expression" dxfId="2225" priority="137" stopIfTrue="1">
      <formula>OR(($A24="Samstag"),($A24="Sonntag"))</formula>
    </cfRule>
  </conditionalFormatting>
  <conditionalFormatting sqref="K24">
    <cfRule type="expression" dxfId="2224" priority="136" stopIfTrue="1">
      <formula>OR(($A24="Samstag"),($A24="Sonntag"))</formula>
    </cfRule>
  </conditionalFormatting>
  <conditionalFormatting sqref="K25">
    <cfRule type="expression" dxfId="2223" priority="135" stopIfTrue="1">
      <formula>OR(($A25="Samstag"),($A25="Sonntag"))</formula>
    </cfRule>
  </conditionalFormatting>
  <conditionalFormatting sqref="K39">
    <cfRule type="expression" dxfId="2222" priority="132" stopIfTrue="1">
      <formula>OR(($A39="Samstag"),($A39="Sonntag"))</formula>
    </cfRule>
  </conditionalFormatting>
  <conditionalFormatting sqref="K39">
    <cfRule type="expression" dxfId="2221" priority="133" stopIfTrue="1">
      <formula>OR(($A39="Samstag"),($A39="Sonntag"))</formula>
    </cfRule>
  </conditionalFormatting>
  <conditionalFormatting sqref="K39">
    <cfRule type="expression" dxfId="2220" priority="131" stopIfTrue="1">
      <formula>OR(($A39="Samstag"),($A39="Sonntag"))</formula>
    </cfRule>
  </conditionalFormatting>
  <conditionalFormatting sqref="K46">
    <cfRule type="expression" dxfId="2219" priority="129" stopIfTrue="1">
      <formula>OR(($A46="Samstag"),($A46="Sonntag"))</formula>
    </cfRule>
  </conditionalFormatting>
  <conditionalFormatting sqref="K46">
    <cfRule type="expression" dxfId="2218" priority="128" stopIfTrue="1">
      <formula>OR(($A46="Samstag"),($A46="Sonntag"))</formula>
    </cfRule>
  </conditionalFormatting>
  <conditionalFormatting sqref="K22:K52">
    <cfRule type="expression" dxfId="2217" priority="125" stopIfTrue="1">
      <formula>OR(($A22="Samstag"),($A22="Sonntag"))</formula>
    </cfRule>
  </conditionalFormatting>
  <conditionalFormatting sqref="K22:K52">
    <cfRule type="expression" dxfId="2216" priority="124" stopIfTrue="1">
      <formula>OR(($A22="Samstag"),($A22="Sonntag"))</formula>
    </cfRule>
  </conditionalFormatting>
  <conditionalFormatting sqref="K31">
    <cfRule type="expression" dxfId="2215" priority="123" stopIfTrue="1">
      <formula>OR(($A31="Samstag"),($A31="Sonntag"))</formula>
    </cfRule>
  </conditionalFormatting>
  <conditionalFormatting sqref="K31">
    <cfRule type="expression" dxfId="2214" priority="122" stopIfTrue="1">
      <formula>OR(($A31="Samstag"),($A31="Sonntag"))</formula>
    </cfRule>
  </conditionalFormatting>
  <conditionalFormatting sqref="K38">
    <cfRule type="expression" dxfId="2213" priority="121" stopIfTrue="1">
      <formula>OR(($A38="Samstag"),($A38="Sonntag"))</formula>
    </cfRule>
  </conditionalFormatting>
  <conditionalFormatting sqref="K38">
    <cfRule type="expression" dxfId="2212" priority="120" stopIfTrue="1">
      <formula>OR(($A38="Samstag"),($A38="Sonntag"))</formula>
    </cfRule>
  </conditionalFormatting>
  <conditionalFormatting sqref="K45">
    <cfRule type="expression" dxfId="2211" priority="119" stopIfTrue="1">
      <formula>OR(($A45="Samstag"),($A45="Sonntag"))</formula>
    </cfRule>
  </conditionalFormatting>
  <conditionalFormatting sqref="K45">
    <cfRule type="expression" dxfId="2210" priority="118" stopIfTrue="1">
      <formula>OR(($A45="Samstag"),($A45="Sonntag"))</formula>
    </cfRule>
  </conditionalFormatting>
  <conditionalFormatting sqref="K40:K44">
    <cfRule type="expression" dxfId="2209" priority="111" stopIfTrue="1">
      <formula>OR(($A40="Samstag"),($A40="Sonntag"))</formula>
    </cfRule>
  </conditionalFormatting>
  <conditionalFormatting sqref="K40:K44">
    <cfRule type="expression" dxfId="2208" priority="110" stopIfTrue="1">
      <formula>OR(($A40="Samstag"),($A40="Sonntag"))</formula>
    </cfRule>
  </conditionalFormatting>
  <conditionalFormatting sqref="K23">
    <cfRule type="expression" dxfId="2207" priority="117" stopIfTrue="1">
      <formula>OR(($A23="Samstag"),($A23="Sonntag"))</formula>
    </cfRule>
  </conditionalFormatting>
  <conditionalFormatting sqref="K23">
    <cfRule type="expression" dxfId="2206" priority="116" stopIfTrue="1">
      <formula>OR(($A23="Samstag"),($A23="Sonntag"))</formula>
    </cfRule>
  </conditionalFormatting>
  <conditionalFormatting sqref="K26:K30">
    <cfRule type="expression" dxfId="2205" priority="115" stopIfTrue="1">
      <formula>OR(($A26="Samstag"),($A26="Sonntag"))</formula>
    </cfRule>
  </conditionalFormatting>
  <conditionalFormatting sqref="K26:K30">
    <cfRule type="expression" dxfId="2204" priority="114" stopIfTrue="1">
      <formula>OR(($A26="Samstag"),($A26="Sonntag"))</formula>
    </cfRule>
  </conditionalFormatting>
  <conditionalFormatting sqref="K33:K37">
    <cfRule type="expression" dxfId="2203" priority="113" stopIfTrue="1">
      <formula>OR(($A33="Samstag"),($A33="Sonntag"))</formula>
    </cfRule>
  </conditionalFormatting>
  <conditionalFormatting sqref="K33:K37">
    <cfRule type="expression" dxfId="2202" priority="112" stopIfTrue="1">
      <formula>OR(($A33="Samstag"),($A33="Sonntag"))</formula>
    </cfRule>
  </conditionalFormatting>
  <conditionalFormatting sqref="K47:K51">
    <cfRule type="expression" dxfId="2201" priority="109" stopIfTrue="1">
      <formula>OR(($A47="Samstag"),($A47="Sonntag"))</formula>
    </cfRule>
  </conditionalFormatting>
  <conditionalFormatting sqref="K47:K51">
    <cfRule type="expression" dxfId="2200" priority="108" stopIfTrue="1">
      <formula>OR(($A47="Samstag"),($A47="Sonntag"))</formula>
    </cfRule>
  </conditionalFormatting>
  <conditionalFormatting sqref="N13 N17">
    <cfRule type="cellIs" dxfId="2199" priority="100" stopIfTrue="1" operator="equal">
      <formula>0</formula>
    </cfRule>
  </conditionalFormatting>
  <conditionalFormatting sqref="N13">
    <cfRule type="cellIs" dxfId="2198" priority="277" stopIfTrue="1" operator="equal">
      <formula>$F$12</formula>
    </cfRule>
    <cfRule type="cellIs" dxfId="2197" priority="278" stopIfTrue="1" operator="notEqual">
      <formula>$F$12</formula>
    </cfRule>
  </conditionalFormatting>
  <conditionalFormatting sqref="N17">
    <cfRule type="cellIs" dxfId="2196" priority="101" stopIfTrue="1" operator="notEqual">
      <formula>$F$16</formula>
    </cfRule>
    <cfRule type="cellIs" dxfId="2195" priority="276" stopIfTrue="1" operator="equal">
      <formula>$F$16</formula>
    </cfRule>
  </conditionalFormatting>
  <conditionalFormatting sqref="I23:I52">
    <cfRule type="expression" dxfId="2194" priority="96" stopIfTrue="1">
      <formula>OR(($A23="Samstag"),($A23="Sonntag"))</formula>
    </cfRule>
  </conditionalFormatting>
  <conditionalFormatting sqref="I23:I52">
    <cfRule type="expression" dxfId="2193" priority="95" stopIfTrue="1">
      <formula>OR(($A23="Samstag"),($A23="Sonntag"))</formula>
    </cfRule>
  </conditionalFormatting>
  <conditionalFormatting sqref="K55:N55">
    <cfRule type="expression" dxfId="2192" priority="91" stopIfTrue="1">
      <formula>OR(($A55="Samstag"),($A55="Sonntag"))</formula>
    </cfRule>
  </conditionalFormatting>
  <conditionalFormatting sqref="G32">
    <cfRule type="expression" dxfId="2191" priority="89" stopIfTrue="1">
      <formula>OR(($A32="Samstag"),($A32="Sonntag"))</formula>
    </cfRule>
  </conditionalFormatting>
  <conditionalFormatting sqref="G32">
    <cfRule type="expression" dxfId="2190" priority="88" stopIfTrue="1">
      <formula>OR(($A32="Samstag"),($A32="Sonntag"))</formula>
    </cfRule>
  </conditionalFormatting>
  <conditionalFormatting sqref="G52">
    <cfRule type="expression" dxfId="2189" priority="77" stopIfTrue="1">
      <formula>OR(($A52="Samstag"),($A52="Sonntag"))</formula>
    </cfRule>
  </conditionalFormatting>
  <conditionalFormatting sqref="G52">
    <cfRule type="expression" dxfId="2188" priority="76" stopIfTrue="1">
      <formula>OR(($A52="Samstag"),($A52="Sonntag"))</formula>
    </cfRule>
  </conditionalFormatting>
  <conditionalFormatting sqref="G46">
    <cfRule type="expression" dxfId="2187" priority="80" stopIfTrue="1">
      <formula>OR(($A46="Samstag"),($A46="Sonntag"))</formula>
    </cfRule>
  </conditionalFormatting>
  <conditionalFormatting sqref="G32">
    <cfRule type="expression" dxfId="2186" priority="84" stopIfTrue="1">
      <formula>OR(($A32="Samstag"),($A32="Sonntag"))</formula>
    </cfRule>
  </conditionalFormatting>
  <conditionalFormatting sqref="G24:G25">
    <cfRule type="expression" dxfId="2185" priority="87" stopIfTrue="1">
      <formula>OR(($A24="Samstag"),($A24="Sonntag"))</formula>
    </cfRule>
  </conditionalFormatting>
  <conditionalFormatting sqref="G24">
    <cfRule type="expression" dxfId="2184" priority="86" stopIfTrue="1">
      <formula>OR(($A24="Samstag"),($A24="Sonntag"))</formula>
    </cfRule>
  </conditionalFormatting>
  <conditionalFormatting sqref="G25">
    <cfRule type="expression" dxfId="2183" priority="85" stopIfTrue="1">
      <formula>OR(($A25="Samstag"),($A25="Sonntag"))</formula>
    </cfRule>
  </conditionalFormatting>
  <conditionalFormatting sqref="G39">
    <cfRule type="expression" dxfId="2182" priority="82" stopIfTrue="1">
      <formula>OR(($A39="Samstag"),($A39="Sonntag"))</formula>
    </cfRule>
  </conditionalFormatting>
  <conditionalFormatting sqref="G39">
    <cfRule type="expression" dxfId="2181" priority="83" stopIfTrue="1">
      <formula>OR(($A39="Samstag"),($A39="Sonntag"))</formula>
    </cfRule>
  </conditionalFormatting>
  <conditionalFormatting sqref="G39">
    <cfRule type="expression" dxfId="2180" priority="81" stopIfTrue="1">
      <formula>OR(($A39="Samstag"),($A39="Sonntag"))</formula>
    </cfRule>
  </conditionalFormatting>
  <conditionalFormatting sqref="G46">
    <cfRule type="expression" dxfId="2179" priority="79" stopIfTrue="1">
      <formula>OR(($A46="Samstag"),($A46="Sonntag"))</formula>
    </cfRule>
  </conditionalFormatting>
  <conditionalFormatting sqref="G46">
    <cfRule type="expression" dxfId="2178" priority="78" stopIfTrue="1">
      <formula>OR(($A46="Samstag"),($A46="Sonntag"))</formula>
    </cfRule>
  </conditionalFormatting>
  <conditionalFormatting sqref="F22:H52">
    <cfRule type="expression" dxfId="2177" priority="75" stopIfTrue="1">
      <formula>OR(($A22="Samstag"),($A22="Sonntag"))</formula>
    </cfRule>
  </conditionalFormatting>
  <conditionalFormatting sqref="F22:H52">
    <cfRule type="expression" dxfId="2176" priority="74" stopIfTrue="1">
      <formula>OR(($A22="Samstag"),($A22="Sonntag"))</formula>
    </cfRule>
  </conditionalFormatting>
  <conditionalFormatting sqref="G31">
    <cfRule type="expression" dxfId="2175" priority="73" stopIfTrue="1">
      <formula>OR(($A31="Samstag"),($A31="Sonntag"))</formula>
    </cfRule>
  </conditionalFormatting>
  <conditionalFormatting sqref="G31">
    <cfRule type="expression" dxfId="2174" priority="72" stopIfTrue="1">
      <formula>OR(($A31="Samstag"),($A31="Sonntag"))</formula>
    </cfRule>
  </conditionalFormatting>
  <conditionalFormatting sqref="G38">
    <cfRule type="expression" dxfId="2173" priority="71" stopIfTrue="1">
      <formula>OR(($A38="Samstag"),($A38="Sonntag"))</formula>
    </cfRule>
  </conditionalFormatting>
  <conditionalFormatting sqref="G38">
    <cfRule type="expression" dxfId="2172" priority="70" stopIfTrue="1">
      <formula>OR(($A38="Samstag"),($A38="Sonntag"))</formula>
    </cfRule>
  </conditionalFormatting>
  <conditionalFormatting sqref="G45">
    <cfRule type="expression" dxfId="2171" priority="69" stopIfTrue="1">
      <formula>OR(($A45="Samstag"),($A45="Sonntag"))</formula>
    </cfRule>
  </conditionalFormatting>
  <conditionalFormatting sqref="G45">
    <cfRule type="expression" dxfId="2170" priority="68" stopIfTrue="1">
      <formula>OR(($A45="Samstag"),($A45="Sonntag"))</formula>
    </cfRule>
  </conditionalFormatting>
  <conditionalFormatting sqref="G40:G44">
    <cfRule type="expression" dxfId="2169" priority="61" stopIfTrue="1">
      <formula>OR(($A40="Samstag"),($A40="Sonntag"))</formula>
    </cfRule>
  </conditionalFormatting>
  <conditionalFormatting sqref="G40:G44">
    <cfRule type="expression" dxfId="2168" priority="60" stopIfTrue="1">
      <formula>OR(($A40="Samstag"),($A40="Sonntag"))</formula>
    </cfRule>
  </conditionalFormatting>
  <conditionalFormatting sqref="G22:G23">
    <cfRule type="expression" dxfId="2167" priority="67" stopIfTrue="1">
      <formula>OR(($A22="Samstag"),($A22="Sonntag"))</formula>
    </cfRule>
  </conditionalFormatting>
  <conditionalFormatting sqref="G22:G23">
    <cfRule type="expression" dxfId="2166" priority="66" stopIfTrue="1">
      <formula>OR(($A22="Samstag"),($A22="Sonntag"))</formula>
    </cfRule>
  </conditionalFormatting>
  <conditionalFormatting sqref="G26:G30">
    <cfRule type="expression" dxfId="2165" priority="65" stopIfTrue="1">
      <formula>OR(($A26="Samstag"),($A26="Sonntag"))</formula>
    </cfRule>
  </conditionalFormatting>
  <conditionalFormatting sqref="G26:G30">
    <cfRule type="expression" dxfId="2164" priority="64" stopIfTrue="1">
      <formula>OR(($A26="Samstag"),($A26="Sonntag"))</formula>
    </cfRule>
  </conditionalFormatting>
  <conditionalFormatting sqref="G33:G37">
    <cfRule type="expression" dxfId="2163" priority="63" stopIfTrue="1">
      <formula>OR(($A33="Samstag"),($A33="Sonntag"))</formula>
    </cfRule>
  </conditionalFormatting>
  <conditionalFormatting sqref="G33:G37">
    <cfRule type="expression" dxfId="2162" priority="62" stopIfTrue="1">
      <formula>OR(($A33="Samstag"),($A33="Sonntag"))</formula>
    </cfRule>
  </conditionalFormatting>
  <conditionalFormatting sqref="G47:G51">
    <cfRule type="expression" dxfId="2161" priority="59" stopIfTrue="1">
      <formula>OR(($A47="Samstag"),($A47="Sonntag"))</formula>
    </cfRule>
  </conditionalFormatting>
  <conditionalFormatting sqref="G47:G51">
    <cfRule type="expression" dxfId="2160" priority="58" stopIfTrue="1">
      <formula>OR(($A47="Samstag"),($A47="Sonntag"))</formula>
    </cfRule>
  </conditionalFormatting>
  <conditionalFormatting sqref="H32">
    <cfRule type="expression" dxfId="2159" priority="57" stopIfTrue="1">
      <formula>OR(($A32="Samstag"),($A32="Sonntag"))</formula>
    </cfRule>
  </conditionalFormatting>
  <conditionalFormatting sqref="H32">
    <cfRule type="expression" dxfId="2158" priority="56" stopIfTrue="1">
      <formula>OR(($A32="Samstag"),($A32="Sonntag"))</formula>
    </cfRule>
  </conditionalFormatting>
  <conditionalFormatting sqref="H52">
    <cfRule type="expression" dxfId="2157" priority="45" stopIfTrue="1">
      <formula>OR(($A52="Samstag"),($A52="Sonntag"))</formula>
    </cfRule>
  </conditionalFormatting>
  <conditionalFormatting sqref="H52">
    <cfRule type="expression" dxfId="2156" priority="44" stopIfTrue="1">
      <formula>OR(($A52="Samstag"),($A52="Sonntag"))</formula>
    </cfRule>
  </conditionalFormatting>
  <conditionalFormatting sqref="H46">
    <cfRule type="expression" dxfId="2155" priority="48" stopIfTrue="1">
      <formula>OR(($A46="Samstag"),($A46="Sonntag"))</formula>
    </cfRule>
  </conditionalFormatting>
  <conditionalFormatting sqref="H32">
    <cfRule type="expression" dxfId="2154" priority="52" stopIfTrue="1">
      <formula>OR(($A32="Samstag"),($A32="Sonntag"))</formula>
    </cfRule>
  </conditionalFormatting>
  <conditionalFormatting sqref="H24:H25">
    <cfRule type="expression" dxfId="2153" priority="55" stopIfTrue="1">
      <formula>OR(($A24="Samstag"),($A24="Sonntag"))</formula>
    </cfRule>
  </conditionalFormatting>
  <conditionalFormatting sqref="H24">
    <cfRule type="expression" dxfId="2152" priority="54" stopIfTrue="1">
      <formula>OR(($A24="Samstag"),($A24="Sonntag"))</formula>
    </cfRule>
  </conditionalFormatting>
  <conditionalFormatting sqref="H25">
    <cfRule type="expression" dxfId="2151" priority="53" stopIfTrue="1">
      <formula>OR(($A25="Samstag"),($A25="Sonntag"))</formula>
    </cfRule>
  </conditionalFormatting>
  <conditionalFormatting sqref="H39">
    <cfRule type="expression" dxfId="2150" priority="50" stopIfTrue="1">
      <formula>OR(($A39="Samstag"),($A39="Sonntag"))</formula>
    </cfRule>
  </conditionalFormatting>
  <conditionalFormatting sqref="H39">
    <cfRule type="expression" dxfId="2149" priority="51" stopIfTrue="1">
      <formula>OR(($A39="Samstag"),($A39="Sonntag"))</formula>
    </cfRule>
  </conditionalFormatting>
  <conditionalFormatting sqref="H39">
    <cfRule type="expression" dxfId="2148" priority="49" stopIfTrue="1">
      <formula>OR(($A39="Samstag"),($A39="Sonntag"))</formula>
    </cfRule>
  </conditionalFormatting>
  <conditionalFormatting sqref="H46">
    <cfRule type="expression" dxfId="2147" priority="47" stopIfTrue="1">
      <formula>OR(($A46="Samstag"),($A46="Sonntag"))</formula>
    </cfRule>
  </conditionalFormatting>
  <conditionalFormatting sqref="H46">
    <cfRule type="expression" dxfId="2146" priority="46" stopIfTrue="1">
      <formula>OR(($A46="Samstag"),($A46="Sonntag"))</formula>
    </cfRule>
  </conditionalFormatting>
  <conditionalFormatting sqref="H22:H52">
    <cfRule type="expression" dxfId="2145" priority="43" stopIfTrue="1">
      <formula>OR(($A22="Samstag"),($A22="Sonntag"))</formula>
    </cfRule>
  </conditionalFormatting>
  <conditionalFormatting sqref="H22:H52">
    <cfRule type="expression" dxfId="2144" priority="42" stopIfTrue="1">
      <formula>OR(($A22="Samstag"),($A22="Sonntag"))</formula>
    </cfRule>
  </conditionalFormatting>
  <conditionalFormatting sqref="H31">
    <cfRule type="expression" dxfId="2143" priority="41" stopIfTrue="1">
      <formula>OR(($A31="Samstag"),($A31="Sonntag"))</formula>
    </cfRule>
  </conditionalFormatting>
  <conditionalFormatting sqref="H31">
    <cfRule type="expression" dxfId="2142" priority="40" stopIfTrue="1">
      <formula>OR(($A31="Samstag"),($A31="Sonntag"))</formula>
    </cfRule>
  </conditionalFormatting>
  <conditionalFormatting sqref="H38">
    <cfRule type="expression" dxfId="2141" priority="39" stopIfTrue="1">
      <formula>OR(($A38="Samstag"),($A38="Sonntag"))</formula>
    </cfRule>
  </conditionalFormatting>
  <conditionalFormatting sqref="H38">
    <cfRule type="expression" dxfId="2140" priority="38" stopIfTrue="1">
      <formula>OR(($A38="Samstag"),($A38="Sonntag"))</formula>
    </cfRule>
  </conditionalFormatting>
  <conditionalFormatting sqref="H45">
    <cfRule type="expression" dxfId="2139" priority="37" stopIfTrue="1">
      <formula>OR(($A45="Samstag"),($A45="Sonntag"))</formula>
    </cfRule>
  </conditionalFormatting>
  <conditionalFormatting sqref="H45">
    <cfRule type="expression" dxfId="2138" priority="36" stopIfTrue="1">
      <formula>OR(($A45="Samstag"),($A45="Sonntag"))</formula>
    </cfRule>
  </conditionalFormatting>
  <conditionalFormatting sqref="H40:H44">
    <cfRule type="expression" dxfId="2137" priority="29" stopIfTrue="1">
      <formula>OR(($A40="Samstag"),($A40="Sonntag"))</formula>
    </cfRule>
  </conditionalFormatting>
  <conditionalFormatting sqref="H40:H44">
    <cfRule type="expression" dxfId="2136" priority="28" stopIfTrue="1">
      <formula>OR(($A40="Samstag"),($A40="Sonntag"))</formula>
    </cfRule>
  </conditionalFormatting>
  <conditionalFormatting sqref="H22:H23">
    <cfRule type="expression" dxfId="2135" priority="35" stopIfTrue="1">
      <formula>OR(($A22="Samstag"),($A22="Sonntag"))</formula>
    </cfRule>
  </conditionalFormatting>
  <conditionalFormatting sqref="H22:H23">
    <cfRule type="expression" dxfId="2134" priority="34" stopIfTrue="1">
      <formula>OR(($A22="Samstag"),($A22="Sonntag"))</formula>
    </cfRule>
  </conditionalFormatting>
  <conditionalFormatting sqref="H26:H30">
    <cfRule type="expression" dxfId="2133" priority="33" stopIfTrue="1">
      <formula>OR(($A26="Samstag"),($A26="Sonntag"))</formula>
    </cfRule>
  </conditionalFormatting>
  <conditionalFormatting sqref="H26:H30">
    <cfRule type="expression" dxfId="2132" priority="32" stopIfTrue="1">
      <formula>OR(($A26="Samstag"),($A26="Sonntag"))</formula>
    </cfRule>
  </conditionalFormatting>
  <conditionalFormatting sqref="H33:H37">
    <cfRule type="expression" dxfId="2131" priority="31" stopIfTrue="1">
      <formula>OR(($A33="Samstag"),($A33="Sonntag"))</formula>
    </cfRule>
  </conditionalFormatting>
  <conditionalFormatting sqref="H33:H37">
    <cfRule type="expression" dxfId="2130" priority="30" stopIfTrue="1">
      <formula>OR(($A33="Samstag"),($A33="Sonntag"))</formula>
    </cfRule>
  </conditionalFormatting>
  <conditionalFormatting sqref="H47:H51">
    <cfRule type="expression" dxfId="2129" priority="27" stopIfTrue="1">
      <formula>OR(($A47="Samstag"),($A47="Sonntag"))</formula>
    </cfRule>
  </conditionalFormatting>
  <conditionalFormatting sqref="H47:H51">
    <cfRule type="expression" dxfId="2128" priority="26" stopIfTrue="1">
      <formula>OR(($A47="Samstag"),($A47="Sonntag"))</formula>
    </cfRule>
  </conditionalFormatting>
  <conditionalFormatting sqref="F22:H52">
    <cfRule type="expression" dxfId="2127" priority="25" stopIfTrue="1">
      <formula>OR(($A22="Samstag"),($A22="Sonntag"))</formula>
    </cfRule>
  </conditionalFormatting>
  <conditionalFormatting sqref="F22:H52">
    <cfRule type="expression" dxfId="2126" priority="24" stopIfTrue="1">
      <formula>OR(($A22="Samstag"),($A22="Sonntag"))</formula>
    </cfRule>
  </conditionalFormatting>
  <conditionalFormatting sqref="I22:I52">
    <cfRule type="expression" dxfId="2125" priority="23" stopIfTrue="1">
      <formula>OR(($A22="Samstag"),($A22="Sonntag"))</formula>
    </cfRule>
    <cfRule type="expression" dxfId="2124" priority="7">
      <formula>(I22&gt;10)</formula>
    </cfRule>
    <cfRule type="expression" dxfId="2123" priority="20" stopIfTrue="1">
      <formula>OR(($A22="Samstag"),($A22="Sonntag"))</formula>
    </cfRule>
    <cfRule type="expression" dxfId="2122" priority="21" stopIfTrue="1">
      <formula>OR(($A22="Samstag"),($A22="Sonntag"))</formula>
    </cfRule>
  </conditionalFormatting>
  <conditionalFormatting sqref="I22:I52">
    <cfRule type="expression" dxfId="2121" priority="22" stopIfTrue="1">
      <formula>OR(($A22="Samstag"),($A22="Sonntag"))</formula>
    </cfRule>
  </conditionalFormatting>
  <conditionalFormatting sqref="K56:P59">
    <cfRule type="expression" dxfId="2120" priority="19">
      <formula>OR(ISERROR($K$55),($K$55&gt;""))</formula>
    </cfRule>
  </conditionalFormatting>
  <conditionalFormatting sqref="L44:L52">
    <cfRule type="expression" dxfId="2119" priority="15" stopIfTrue="1">
      <formula>OR(($A44="Samstag"),($A44="Sonntag"))</formula>
    </cfRule>
  </conditionalFormatting>
  <conditionalFormatting sqref="L44:L52">
    <cfRule type="expression" dxfId="2118" priority="18" stopIfTrue="1">
      <formula>OR(($A44="Samstag"),($A44="Sonntag"))</formula>
    </cfRule>
  </conditionalFormatting>
  <conditionalFormatting sqref="L44:L52">
    <cfRule type="expression" dxfId="2117" priority="17" stopIfTrue="1">
      <formula>OR(($A44="Samstag"),($A44="Sonntag"))</formula>
    </cfRule>
  </conditionalFormatting>
  <conditionalFormatting sqref="L44:L52">
    <cfRule type="expression" dxfId="2116" priority="16" stopIfTrue="1">
      <formula>OR(($A44="Samstag"),($A44="Sonntag"))</formula>
    </cfRule>
  </conditionalFormatting>
  <conditionalFormatting sqref="L22">
    <cfRule type="expression" dxfId="2115" priority="14" stopIfTrue="1">
      <formula>OR(($A22="Samstag"),($A22="Sonntag"),($AA22=TRUE()))</formula>
    </cfRule>
  </conditionalFormatting>
  <conditionalFormatting sqref="L22">
    <cfRule type="expression" dxfId="2114" priority="13" stopIfTrue="1">
      <formula>OR(($A22="Samstag"),($A22="Sonntag"))</formula>
    </cfRule>
  </conditionalFormatting>
  <conditionalFormatting sqref="L40:L43">
    <cfRule type="expression" dxfId="2113" priority="12" stopIfTrue="1">
      <formula>OR(($A40="Samstag"),($A40="Sonntag"),($AA40=TRUE()))</formula>
    </cfRule>
  </conditionalFormatting>
  <conditionalFormatting sqref="L40:L43">
    <cfRule type="expression" dxfId="2112" priority="11" stopIfTrue="1">
      <formula>OR(($A40="Samstag"),($A40="Sonntag"))</formula>
    </cfRule>
  </conditionalFormatting>
  <conditionalFormatting sqref="G22:G52">
    <cfRule type="expression" dxfId="2111" priority="8">
      <formula>OR(AND(I22&gt;6,G22&lt;TIME(0,30,0)),AND(I22&gt;9,G22&lt;TIME(0,45,0)))</formula>
    </cfRule>
  </conditionalFormatting>
  <conditionalFormatting sqref="J22:J52">
    <cfRule type="expression" dxfId="2110" priority="6" stopIfTrue="1">
      <formula>OR(($A22="Samstag"),($A22="Sonntag"))</formula>
    </cfRule>
  </conditionalFormatting>
  <conditionalFormatting sqref="J22:J52">
    <cfRule type="expression" dxfId="2109" priority="5" stopIfTrue="1">
      <formula>OR(($A22="Samstag"),($A22="Sonntag"))</formula>
    </cfRule>
  </conditionalFormatting>
  <dataValidations count="8">
    <dataValidation type="decimal" allowBlank="1" showInputMessage="1" showErrorMessage="1" errorTitle="Eingabefehler" error="Bitte geben Sie eine positive Dezimalzahl ein." sqref="D22:D52">
      <formula1>0</formula1>
      <formula2>20</formula2>
    </dataValidation>
    <dataValidation type="decimal" allowBlank="1" showInputMessage="1" showErrorMessage="1" sqref="I16:M16 I12:M12">
      <formula1>$AA$35</formula1>
      <formula2>$AA$36</formula2>
    </dataValidation>
    <dataValidation showInputMessage="1" showErrorMessage="1" sqref="G10:I10"/>
    <dataValidation type="list" allowBlank="1" showInputMessage="1" showErrorMessage="1" sqref="E17:F17">
      <formula1>$B$22:$B$52</formula1>
    </dataValidation>
    <dataValidation type="custom" allowBlank="1" showInputMessage="1" showErrorMessage="1" errorTitle="Eingabefehler" error="Bitte geben Sie eine Uhrzeit ( hh:mm ) zwischen 0:00 und 23:59 ein. Bitte beachten Sie, dass eine Eingabe an Wochenenden sowie an Tagen mit dem Status &quot;bezahlt abwesend&quot; nicht möglich ist." sqref="F22:H52">
      <formula1>AND(ISNUMBER(F22),DAY($B22)&gt;0,NOT(AND($C22="BA",NOT($S$8))),NOT(AND(OR($A22="Sonntag",$A22="Samstag"),NOT($S$7))),F22&gt;=TIME(0,0,0),F22&lt;=TIME(23,59,59))</formula1>
    </dataValidation>
    <dataValidation type="decimal" allowBlank="1" showInputMessage="1" showErrorMessage="1" sqref="M7:O7">
      <formula1>-99999999</formula1>
      <formula2>99999999</formula2>
    </dataValidation>
    <dataValidation type="decimal" allowBlank="1" showInputMessage="1" showErrorMessage="1" sqref="F12 F16 I13:M13 I17:M17">
      <formula1>0</formula1>
      <formula2>45</formula2>
    </dataValidation>
    <dataValidation type="list" showInputMessage="1" showErrorMessage="1" sqref="C22:C52">
      <formula1>Auswahlart</formula1>
    </dataValidation>
  </dataValidations>
  <pageMargins left="0.43307086614173229" right="0.23622047244094491" top="0.89" bottom="0.54" header="0.4" footer="0.31496062992125984"/>
  <pageSetup paperSize="9" scale="65" orientation="portrait" r:id="rId1"/>
  <headerFooter differentFirst="1" alignWithMargins="0">
    <firstHeader>&amp;L&amp;G</firstHeader>
  </headerFooter>
  <drawing r:id="rId2"/>
  <legacyDrawing r:id="rId3"/>
  <legacyDrawingHF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pageSetUpPr fitToPage="1"/>
  </sheetPr>
  <dimension ref="A1:IR80"/>
  <sheetViews>
    <sheetView showGridLines="0" showRowColHeaders="0" zoomScaleNormal="100" zoomScaleSheetLayoutView="55" workbookViewId="0">
      <selection activeCell="E17" sqref="E17:F17"/>
    </sheetView>
  </sheetViews>
  <sheetFormatPr baseColWidth="10" defaultColWidth="6.25" defaultRowHeight="0" customHeight="1" zeroHeight="1"/>
  <cols>
    <col min="1" max="1" width="5" style="6" customWidth="1"/>
    <col min="2" max="2" width="11.25" style="57" customWidth="1"/>
    <col min="3" max="3" width="7.5" style="57" customWidth="1"/>
    <col min="4" max="8" width="7.75" style="57" customWidth="1"/>
    <col min="9" max="13" width="8.125" style="57" customWidth="1"/>
    <col min="14" max="14" width="7.5" style="57" customWidth="1"/>
    <col min="15" max="15" width="10" style="57" customWidth="1"/>
    <col min="16" max="16" width="7.5" style="24" customWidth="1"/>
    <col min="17" max="17" width="5" style="24" customWidth="1"/>
    <col min="18" max="18" width="10.125" style="6" customWidth="1"/>
    <col min="19" max="19" width="7.5" style="6" bestFit="1" customWidth="1"/>
    <col min="20" max="20" width="8.5" style="6" bestFit="1" customWidth="1"/>
    <col min="21" max="21" width="7.25" style="6" bestFit="1" customWidth="1"/>
    <col min="22" max="22" width="7.75" style="6" bestFit="1" customWidth="1"/>
    <col min="23" max="23" width="7.5" style="6" bestFit="1" customWidth="1"/>
    <col min="24" max="24" width="8.125" style="6" bestFit="1" customWidth="1"/>
    <col min="25" max="25" width="7.25" style="6" bestFit="1" customWidth="1"/>
    <col min="26" max="26" width="7.25" style="6" customWidth="1"/>
    <col min="27" max="27" width="10.5" style="68" customWidth="1"/>
    <col min="28" max="28" width="9.875" style="68" customWidth="1"/>
    <col min="29" max="29" width="11.125" style="6" customWidth="1"/>
    <col min="30" max="31" width="11.125" style="95" customWidth="1"/>
    <col min="32" max="34" width="6.25" style="96" customWidth="1"/>
    <col min="35" max="252" width="6.25" style="3" customWidth="1"/>
    <col min="253" max="16384" width="6.25" style="3"/>
  </cols>
  <sheetData>
    <row r="1" spans="1:34" ht="11.25" customHeight="1">
      <c r="A1" s="3"/>
      <c r="B1" s="92"/>
      <c r="C1" s="92"/>
      <c r="D1" s="92"/>
      <c r="E1" s="92"/>
      <c r="F1" s="92"/>
      <c r="G1" s="92"/>
      <c r="H1" s="92"/>
      <c r="I1" s="92"/>
      <c r="J1" s="92"/>
      <c r="K1" s="92"/>
      <c r="L1" s="92"/>
      <c r="M1" s="92"/>
      <c r="N1" s="92"/>
      <c r="O1" s="92"/>
      <c r="P1" s="8"/>
      <c r="Q1" s="154"/>
      <c r="R1" s="154"/>
      <c r="S1" s="69"/>
      <c r="T1" s="69"/>
      <c r="U1" s="69"/>
      <c r="V1" s="3"/>
      <c r="W1" s="3"/>
      <c r="X1" s="3"/>
      <c r="Y1" s="3"/>
      <c r="Z1" s="3"/>
      <c r="AA1" s="3"/>
      <c r="AB1" s="3"/>
      <c r="AC1" s="3"/>
      <c r="AD1" s="3"/>
      <c r="AE1" s="3"/>
      <c r="AF1" s="3"/>
      <c r="AG1" s="3"/>
      <c r="AH1" s="3"/>
    </row>
    <row r="2" spans="1:34" ht="18.75" customHeight="1">
      <c r="A2" s="3"/>
      <c r="B2" s="221" t="s">
        <v>9</v>
      </c>
      <c r="C2" s="221"/>
      <c r="D2" s="221"/>
      <c r="E2" s="221"/>
      <c r="F2" s="221"/>
      <c r="G2" s="221"/>
      <c r="H2" s="221"/>
      <c r="I2" s="221" t="s">
        <v>31</v>
      </c>
      <c r="J2" s="221"/>
      <c r="K2" s="278">
        <f>Übersicht!K2</f>
        <v>2017</v>
      </c>
      <c r="L2" s="278"/>
      <c r="M2" s="93"/>
      <c r="N2" s="93"/>
      <c r="O2" s="93"/>
      <c r="P2" s="94"/>
      <c r="Q2" s="154"/>
      <c r="R2" s="154"/>
      <c r="S2" s="69"/>
      <c r="T2" s="69"/>
      <c r="U2" s="69"/>
      <c r="V2" s="3"/>
      <c r="W2" s="3"/>
      <c r="X2" s="3"/>
      <c r="Y2" s="3"/>
      <c r="Z2" s="3"/>
      <c r="AA2" s="3"/>
      <c r="AB2" s="3"/>
      <c r="AC2" s="3"/>
      <c r="AD2" s="3"/>
      <c r="AE2" s="3"/>
      <c r="AF2" s="3"/>
      <c r="AG2" s="3"/>
      <c r="AH2" s="3"/>
    </row>
    <row r="3" spans="1:34" ht="11.25" customHeight="1">
      <c r="A3" s="3"/>
      <c r="B3" s="10"/>
      <c r="C3" s="10"/>
      <c r="D3" s="10"/>
      <c r="E3" s="10"/>
      <c r="F3" s="10"/>
      <c r="G3" s="10"/>
      <c r="H3" s="10"/>
      <c r="I3" s="10"/>
      <c r="J3" s="10"/>
      <c r="K3" s="10"/>
      <c r="L3" s="10"/>
      <c r="M3" s="10"/>
      <c r="N3" s="10"/>
      <c r="O3" s="10"/>
      <c r="P3" s="8"/>
      <c r="Q3" s="154"/>
      <c r="R3" s="154"/>
      <c r="S3" s="69"/>
      <c r="T3" s="69"/>
      <c r="U3" s="69"/>
      <c r="V3" s="3"/>
      <c r="W3" s="3"/>
      <c r="X3" s="3"/>
      <c r="Y3" s="3"/>
      <c r="Z3" s="3"/>
      <c r="AA3" s="3"/>
      <c r="AB3" s="3"/>
      <c r="AC3" s="3"/>
      <c r="AD3" s="3"/>
      <c r="AE3" s="3"/>
      <c r="AF3" s="3"/>
      <c r="AG3" s="3"/>
      <c r="AH3" s="3"/>
    </row>
    <row r="4" spans="1:34" ht="15" customHeight="1">
      <c r="A4" s="3"/>
      <c r="B4" s="11"/>
      <c r="C4" s="12"/>
      <c r="D4" s="12"/>
      <c r="E4" s="12"/>
      <c r="F4" s="12"/>
      <c r="G4" s="12"/>
      <c r="H4" s="12"/>
      <c r="I4" s="12"/>
      <c r="J4" s="12"/>
      <c r="K4" s="12"/>
      <c r="L4" s="12"/>
      <c r="M4" s="12"/>
      <c r="N4" s="12"/>
      <c r="O4" s="12"/>
      <c r="P4" s="13"/>
      <c r="Q4" s="154"/>
      <c r="R4" s="154"/>
      <c r="S4" s="69"/>
      <c r="T4" s="69"/>
      <c r="U4" s="69"/>
      <c r="V4" s="3"/>
      <c r="W4" s="3"/>
      <c r="X4" s="3"/>
      <c r="Y4" s="3"/>
      <c r="Z4" s="3"/>
      <c r="AA4" s="3"/>
      <c r="AB4" s="3"/>
      <c r="AC4" s="3"/>
      <c r="AD4" s="3"/>
      <c r="AE4" s="3"/>
      <c r="AF4" s="3"/>
      <c r="AG4" s="3"/>
      <c r="AH4" s="3"/>
    </row>
    <row r="5" spans="1:34" ht="22.5" customHeight="1">
      <c r="A5" s="3"/>
      <c r="B5" s="107"/>
      <c r="C5" s="25" t="s">
        <v>3</v>
      </c>
      <c r="D5" s="15"/>
      <c r="E5" s="258" t="str">
        <f>IF(Übersicht!E5&lt;&gt;"",Übersicht!E5,"")</f>
        <v>Jansen, David</v>
      </c>
      <c r="F5" s="259"/>
      <c r="G5" s="259"/>
      <c r="H5" s="260"/>
      <c r="I5" s="16"/>
      <c r="J5" s="25" t="s">
        <v>65</v>
      </c>
      <c r="K5" s="16"/>
      <c r="M5" s="261">
        <f>IF(Übersicht!M5&lt;&gt;"",Übersicht!M5,"")</f>
        <v>419510</v>
      </c>
      <c r="N5" s="262"/>
      <c r="O5" s="263"/>
      <c r="P5" s="17"/>
      <c r="Q5" s="155"/>
      <c r="R5" s="155"/>
      <c r="S5" s="68"/>
      <c r="T5" s="68"/>
      <c r="V5" s="3"/>
      <c r="W5" s="3"/>
      <c r="X5" s="3"/>
      <c r="Y5" s="3"/>
      <c r="Z5" s="3"/>
      <c r="AA5" s="3"/>
      <c r="AB5" s="3"/>
      <c r="AC5" s="3"/>
      <c r="AD5" s="3"/>
      <c r="AE5" s="3"/>
      <c r="AF5" s="3"/>
      <c r="AG5" s="3"/>
      <c r="AH5" s="3"/>
    </row>
    <row r="6" spans="1:34" ht="15">
      <c r="A6" s="3"/>
      <c r="B6" s="18"/>
      <c r="C6" s="19"/>
      <c r="D6" s="19"/>
      <c r="E6" s="19"/>
      <c r="F6" s="19"/>
      <c r="G6" s="20"/>
      <c r="H6" s="20"/>
      <c r="I6" s="16"/>
      <c r="J6" s="16"/>
      <c r="P6" s="23"/>
      <c r="Q6" s="156"/>
      <c r="R6" s="156"/>
      <c r="V6" s="3"/>
      <c r="W6" s="3"/>
      <c r="X6" s="3"/>
      <c r="Y6" s="3"/>
      <c r="Z6" s="3"/>
      <c r="AA6" s="3"/>
      <c r="AB6" s="3"/>
      <c r="AC6" s="3"/>
      <c r="AD6" s="3"/>
      <c r="AE6" s="3"/>
      <c r="AF6" s="3"/>
      <c r="AG6" s="3"/>
      <c r="AH6" s="3"/>
    </row>
    <row r="7" spans="1:34" ht="22.5" customHeight="1">
      <c r="A7" s="3"/>
      <c r="B7" s="107"/>
      <c r="C7" s="25" t="s">
        <v>7</v>
      </c>
      <c r="D7" s="16"/>
      <c r="E7" s="258" t="str">
        <f>IF(Übersicht!E7&lt;&gt;"",Übersicht!E7,"")</f>
        <v>Hiwi</v>
      </c>
      <c r="F7" s="259"/>
      <c r="G7" s="259"/>
      <c r="H7" s="260"/>
      <c r="I7" s="16"/>
      <c r="J7" s="25" t="s">
        <v>74</v>
      </c>
      <c r="K7" s="16"/>
      <c r="M7" s="272">
        <f>Januar!K54</f>
        <v>0</v>
      </c>
      <c r="N7" s="273"/>
      <c r="O7" s="274"/>
      <c r="P7" s="23"/>
      <c r="Q7" s="156"/>
      <c r="R7" s="6" t="s">
        <v>81</v>
      </c>
      <c r="S7" s="211" t="b">
        <f>OR(IF(E7&gt;"",IF(MID(E7,LEN(E7)-1,2)="WE","WAHR",FALSE),FALSE),IF(E7&gt;"",IF(MID(E7,LEN(E7)-2,3)="WEF","WAHR",FALSE),FALSE))</f>
        <v>0</v>
      </c>
      <c r="V7" s="3"/>
      <c r="W7" s="3"/>
      <c r="X7" s="3"/>
      <c r="Y7" s="3"/>
      <c r="Z7" s="3"/>
      <c r="AA7" s="3"/>
      <c r="AB7" s="3"/>
      <c r="AC7" s="3"/>
      <c r="AD7" s="3"/>
      <c r="AE7" s="3"/>
      <c r="AF7" s="3"/>
      <c r="AG7" s="3"/>
      <c r="AH7" s="3"/>
    </row>
    <row r="8" spans="1:34" ht="22.5" customHeight="1">
      <c r="A8" s="3"/>
      <c r="B8" s="186"/>
      <c r="C8" s="187"/>
      <c r="D8" s="187"/>
      <c r="E8" s="187"/>
      <c r="F8" s="188"/>
      <c r="G8" s="189"/>
      <c r="H8" s="189"/>
      <c r="I8" s="189"/>
      <c r="J8" s="61"/>
      <c r="K8" s="61"/>
      <c r="L8" s="61"/>
      <c r="M8" s="61"/>
      <c r="N8" s="61"/>
      <c r="O8" s="61"/>
      <c r="P8" s="190"/>
      <c r="Q8" s="156"/>
      <c r="R8" s="6" t="s">
        <v>82</v>
      </c>
      <c r="S8" s="211" t="b">
        <f>IF(E7&gt;"",IF(MID(E7,LEN(E7)-2,3)="WEF","WAHR",FALSE),FALSE)</f>
        <v>0</v>
      </c>
      <c r="V8" s="3"/>
      <c r="W8" s="3"/>
      <c r="X8" s="3"/>
      <c r="Y8" s="3"/>
      <c r="Z8" s="3"/>
      <c r="AA8" s="3"/>
      <c r="AB8" s="3"/>
      <c r="AC8" s="3"/>
      <c r="AD8" s="3"/>
      <c r="AE8" s="3"/>
      <c r="AF8" s="3"/>
      <c r="AG8" s="3"/>
      <c r="AH8" s="3"/>
    </row>
    <row r="9" spans="1:34" ht="22.5" customHeight="1">
      <c r="A9" s="3"/>
      <c r="B9" s="107"/>
      <c r="C9" s="25" t="s">
        <v>73</v>
      </c>
      <c r="D9" s="16"/>
      <c r="E9" s="254" t="str">
        <f>IF(Übersicht!E11&lt;&gt;"",Übersicht!E11,"")</f>
        <v>Innogy Abwasser</v>
      </c>
      <c r="F9" s="255"/>
      <c r="G9" s="255"/>
      <c r="H9" s="255"/>
      <c r="I9" s="255"/>
      <c r="J9" s="255"/>
      <c r="K9" s="255"/>
      <c r="L9" s="255"/>
      <c r="M9" s="255"/>
      <c r="N9" s="255"/>
      <c r="O9" s="256"/>
      <c r="P9" s="23"/>
      <c r="Q9" s="156"/>
      <c r="R9" s="156"/>
      <c r="V9" s="3"/>
      <c r="W9" s="3"/>
      <c r="X9" s="3"/>
      <c r="Y9" s="3"/>
      <c r="Z9" s="3"/>
      <c r="AA9" s="3"/>
      <c r="AB9" s="3"/>
      <c r="AC9" s="3"/>
      <c r="AD9" s="3"/>
      <c r="AE9" s="3"/>
      <c r="AF9" s="3"/>
      <c r="AG9" s="3"/>
      <c r="AH9" s="3"/>
    </row>
    <row r="10" spans="1:34" ht="15">
      <c r="A10" s="3"/>
      <c r="B10" s="14"/>
      <c r="C10" s="25"/>
      <c r="D10" s="25"/>
      <c r="E10" s="25"/>
      <c r="F10" s="19"/>
      <c r="G10" s="26"/>
      <c r="H10" s="26"/>
      <c r="I10" s="26"/>
      <c r="P10" s="23"/>
      <c r="Q10" s="157"/>
      <c r="R10" s="157"/>
      <c r="S10" s="68"/>
      <c r="T10" s="68"/>
      <c r="U10" s="68"/>
      <c r="V10" s="3"/>
      <c r="W10" s="3"/>
      <c r="X10" s="3"/>
      <c r="Y10" s="3"/>
      <c r="Z10" s="3"/>
      <c r="AA10" s="3"/>
      <c r="AB10" s="3"/>
      <c r="AC10" s="3"/>
      <c r="AD10" s="3"/>
      <c r="AE10" s="3"/>
      <c r="AF10" s="3"/>
      <c r="AG10" s="3"/>
      <c r="AH10" s="3"/>
    </row>
    <row r="11" spans="1:34" ht="15" customHeight="1">
      <c r="A11" s="3"/>
      <c r="B11" s="112"/>
      <c r="C11" s="113"/>
      <c r="D11" s="114"/>
      <c r="E11" s="114"/>
      <c r="F11" s="115"/>
      <c r="G11" s="115"/>
      <c r="H11" s="116" t="s">
        <v>42</v>
      </c>
      <c r="I11" s="117" t="s">
        <v>12</v>
      </c>
      <c r="J11" s="118" t="s">
        <v>13</v>
      </c>
      <c r="K11" s="119" t="s">
        <v>14</v>
      </c>
      <c r="L11" s="117" t="s">
        <v>15</v>
      </c>
      <c r="M11" s="117" t="s">
        <v>16</v>
      </c>
      <c r="N11" s="120"/>
      <c r="O11" s="150"/>
      <c r="P11" s="23"/>
      <c r="Q11" s="156"/>
      <c r="R11" s="156"/>
      <c r="V11" s="3"/>
      <c r="W11" s="3"/>
      <c r="X11" s="3"/>
      <c r="Y11" s="3"/>
      <c r="Z11" s="3"/>
      <c r="AA11" s="3"/>
      <c r="AB11" s="3"/>
      <c r="AC11" s="3"/>
      <c r="AD11" s="3"/>
      <c r="AE11" s="3"/>
      <c r="AF11" s="3"/>
      <c r="AG11" s="3"/>
      <c r="AH11" s="3"/>
    </row>
    <row r="12" spans="1:34" ht="22.5" customHeight="1">
      <c r="A12" s="3"/>
      <c r="B12" s="112"/>
      <c r="C12" s="14" t="s">
        <v>30</v>
      </c>
      <c r="D12" s="21"/>
      <c r="E12" s="22"/>
      <c r="F12" s="152">
        <v>0</v>
      </c>
      <c r="G12" s="92"/>
      <c r="H12" s="121" t="s">
        <v>43</v>
      </c>
      <c r="I12" s="122">
        <f>$F$12/5</f>
        <v>0</v>
      </c>
      <c r="J12" s="123">
        <f>$F$12/5</f>
        <v>0</v>
      </c>
      <c r="K12" s="123">
        <f>$F$12/5</f>
        <v>0</v>
      </c>
      <c r="L12" s="123">
        <f>$F$12/5</f>
        <v>0</v>
      </c>
      <c r="M12" s="124">
        <f>$F$12/5</f>
        <v>0</v>
      </c>
      <c r="N12" s="125" t="s">
        <v>45</v>
      </c>
      <c r="O12" s="150"/>
      <c r="P12" s="23"/>
      <c r="Q12" s="156"/>
      <c r="R12" s="156"/>
      <c r="V12" s="3"/>
      <c r="W12" s="3"/>
      <c r="X12" s="3"/>
      <c r="Y12" s="3"/>
      <c r="Z12" s="3"/>
      <c r="AA12" s="3"/>
      <c r="AB12" s="3"/>
      <c r="AC12" s="3"/>
      <c r="AD12" s="3"/>
      <c r="AE12" s="3"/>
      <c r="AF12" s="3"/>
      <c r="AG12" s="3"/>
      <c r="AH12" s="3"/>
    </row>
    <row r="13" spans="1:34" ht="22.5" customHeight="1">
      <c r="A13" s="3"/>
      <c r="B13" s="112"/>
      <c r="C13" s="126"/>
      <c r="D13" s="151"/>
      <c r="E13" s="151"/>
      <c r="F13" s="127"/>
      <c r="G13" s="127"/>
      <c r="H13" s="128" t="s">
        <v>44</v>
      </c>
      <c r="I13" s="108"/>
      <c r="J13" s="109"/>
      <c r="K13" s="109"/>
      <c r="L13" s="109"/>
      <c r="M13" s="110"/>
      <c r="N13" s="88">
        <f>SUM(I13:M13)</f>
        <v>0</v>
      </c>
      <c r="O13" s="150"/>
      <c r="P13" s="23"/>
      <c r="Q13" s="156"/>
      <c r="R13" s="156"/>
      <c r="V13" s="3"/>
      <c r="W13" s="3"/>
      <c r="X13" s="3"/>
      <c r="Y13" s="3"/>
      <c r="Z13" s="3"/>
      <c r="AA13" s="3"/>
      <c r="AB13" s="3"/>
      <c r="AC13" s="3"/>
      <c r="AD13" s="3"/>
      <c r="AE13" s="3"/>
      <c r="AF13" s="3"/>
      <c r="AG13" s="3"/>
      <c r="AH13" s="3"/>
    </row>
    <row r="14" spans="1:34" ht="18.75" customHeight="1">
      <c r="A14" s="3"/>
      <c r="B14" s="112"/>
      <c r="C14" s="149" t="s">
        <v>80</v>
      </c>
      <c r="D14" s="25"/>
      <c r="E14" s="27"/>
      <c r="F14" s="7"/>
      <c r="G14" s="7"/>
      <c r="O14" s="150"/>
      <c r="P14" s="23"/>
      <c r="Q14" s="156"/>
      <c r="R14" s="156"/>
      <c r="V14" s="3"/>
      <c r="W14" s="3"/>
      <c r="X14" s="3"/>
      <c r="Y14" s="3"/>
      <c r="Z14" s="3"/>
      <c r="AA14" s="3"/>
      <c r="AB14" s="3"/>
      <c r="AC14" s="3"/>
      <c r="AD14" s="3"/>
      <c r="AE14" s="3"/>
      <c r="AF14" s="3"/>
      <c r="AG14" s="3"/>
      <c r="AH14" s="3"/>
    </row>
    <row r="15" spans="1:34" ht="15" customHeight="1">
      <c r="A15" s="3"/>
      <c r="B15" s="112"/>
      <c r="C15" s="111"/>
      <c r="D15" s="129"/>
      <c r="E15" s="130"/>
      <c r="F15" s="130"/>
      <c r="G15" s="131"/>
      <c r="H15" s="132" t="s">
        <v>49</v>
      </c>
      <c r="I15" s="133" t="s">
        <v>12</v>
      </c>
      <c r="J15" s="134" t="s">
        <v>13</v>
      </c>
      <c r="K15" s="135" t="s">
        <v>14</v>
      </c>
      <c r="L15" s="133" t="s">
        <v>15</v>
      </c>
      <c r="M15" s="133" t="s">
        <v>16</v>
      </c>
      <c r="N15" s="136"/>
      <c r="O15" s="150"/>
      <c r="P15" s="23"/>
      <c r="Q15" s="156"/>
      <c r="R15" s="156"/>
      <c r="V15" s="3"/>
      <c r="W15" s="3"/>
      <c r="X15" s="3"/>
      <c r="Y15" s="3"/>
      <c r="Z15" s="3"/>
      <c r="AA15" s="3"/>
      <c r="AB15" s="3"/>
      <c r="AC15" s="3"/>
      <c r="AD15" s="3"/>
      <c r="AE15" s="3"/>
      <c r="AF15" s="3"/>
      <c r="AG15" s="3"/>
      <c r="AH15" s="3"/>
    </row>
    <row r="16" spans="1:34" ht="23.25" customHeight="1">
      <c r="A16" s="3"/>
      <c r="B16" s="112"/>
      <c r="C16" s="147" t="s">
        <v>48</v>
      </c>
      <c r="D16" s="148"/>
      <c r="E16" s="148"/>
      <c r="F16" s="152">
        <v>0</v>
      </c>
      <c r="G16" s="137"/>
      <c r="H16" s="138" t="s">
        <v>43</v>
      </c>
      <c r="I16" s="139">
        <f>$F$16/5</f>
        <v>0</v>
      </c>
      <c r="J16" s="140">
        <f>$F$16/5</f>
        <v>0</v>
      </c>
      <c r="K16" s="140">
        <f>$F$16/5</f>
        <v>0</v>
      </c>
      <c r="L16" s="140">
        <f>$F$16/5</f>
        <v>0</v>
      </c>
      <c r="M16" s="141">
        <f>$F$16/5</f>
        <v>0</v>
      </c>
      <c r="N16" s="142" t="s">
        <v>45</v>
      </c>
      <c r="O16" s="150"/>
      <c r="P16" s="23"/>
      <c r="Q16" s="156"/>
      <c r="R16" s="156"/>
      <c r="V16" s="3"/>
      <c r="W16" s="3"/>
      <c r="X16" s="3"/>
      <c r="Y16" s="3"/>
      <c r="Z16" s="3"/>
      <c r="AA16" s="3"/>
      <c r="AB16" s="3"/>
      <c r="AC16" s="3"/>
      <c r="AD16" s="3"/>
      <c r="AE16" s="3"/>
      <c r="AF16" s="3"/>
      <c r="AG16" s="3"/>
      <c r="AH16" s="3"/>
    </row>
    <row r="17" spans="1:252" ht="22.5" customHeight="1">
      <c r="A17" s="3"/>
      <c r="B17" s="112"/>
      <c r="C17" s="143" t="s">
        <v>47</v>
      </c>
      <c r="D17" s="144"/>
      <c r="E17" s="279"/>
      <c r="F17" s="279"/>
      <c r="G17" s="153" t="b">
        <f>IF($E$17&lt;&gt;0,TRUE(),FALSE())</f>
        <v>0</v>
      </c>
      <c r="H17" s="145" t="s">
        <v>44</v>
      </c>
      <c r="I17" s="108"/>
      <c r="J17" s="109"/>
      <c r="K17" s="109"/>
      <c r="L17" s="109"/>
      <c r="M17" s="110"/>
      <c r="N17" s="146">
        <f>SUM(I17:M17)</f>
        <v>0</v>
      </c>
      <c r="O17" s="150"/>
      <c r="P17" s="23"/>
      <c r="Q17" s="156"/>
      <c r="R17" s="156"/>
      <c r="V17" s="3"/>
      <c r="W17" s="3"/>
      <c r="X17" s="3"/>
      <c r="Y17" s="3"/>
      <c r="Z17" s="3"/>
      <c r="AA17" s="3"/>
      <c r="AB17" s="3"/>
      <c r="AC17" s="3"/>
      <c r="AD17" s="3"/>
      <c r="AE17" s="3"/>
      <c r="AF17" s="3"/>
      <c r="AG17" s="3"/>
      <c r="AH17" s="3"/>
    </row>
    <row r="18" spans="1:252" ht="15">
      <c r="A18" s="3"/>
      <c r="B18" s="85"/>
      <c r="C18" s="86"/>
      <c r="D18" s="87"/>
      <c r="E18" s="87"/>
      <c r="F18" s="87"/>
      <c r="G18" s="87"/>
      <c r="H18" s="87"/>
      <c r="I18" s="87"/>
      <c r="J18" s="87"/>
      <c r="K18" s="9"/>
      <c r="L18" s="9"/>
      <c r="M18" s="9"/>
      <c r="N18" s="9"/>
      <c r="O18" s="9"/>
      <c r="P18" s="28"/>
      <c r="Q18" s="156"/>
      <c r="R18" s="156"/>
      <c r="V18" s="3"/>
      <c r="W18" s="3"/>
      <c r="X18" s="3"/>
      <c r="Y18" s="3"/>
      <c r="Z18" s="3"/>
      <c r="AA18" s="3"/>
      <c r="AB18" s="3"/>
      <c r="AC18" s="3"/>
      <c r="AD18" s="3"/>
      <c r="AE18" s="3"/>
      <c r="AF18" s="3"/>
      <c r="AG18" s="3"/>
      <c r="AH18" s="3"/>
    </row>
    <row r="19" spans="1:252" ht="15.75" thickBot="1">
      <c r="A19" s="29"/>
      <c r="B19" s="164"/>
      <c r="C19" s="68"/>
      <c r="D19" s="68"/>
      <c r="E19" s="68"/>
      <c r="F19" s="68"/>
      <c r="G19" s="68"/>
      <c r="H19" s="68"/>
      <c r="I19" s="68"/>
      <c r="J19" s="68"/>
      <c r="K19" s="68"/>
      <c r="L19" s="68"/>
      <c r="M19" s="68"/>
      <c r="N19" s="68"/>
      <c r="O19" s="68"/>
      <c r="P19" s="68"/>
      <c r="Q19" s="157"/>
      <c r="R19" s="157"/>
      <c r="S19" s="68"/>
      <c r="T19" s="68"/>
      <c r="U19" s="68"/>
    </row>
    <row r="20" spans="1:252" s="4" customFormat="1" ht="18.75" customHeight="1">
      <c r="A20" s="30"/>
      <c r="B20" s="202"/>
      <c r="C20" s="264" t="s">
        <v>29</v>
      </c>
      <c r="D20" s="265"/>
      <c r="E20" s="265"/>
      <c r="F20" s="266" t="s">
        <v>67</v>
      </c>
      <c r="G20" s="267"/>
      <c r="H20" s="268"/>
      <c r="I20" s="269" t="s">
        <v>25</v>
      </c>
      <c r="J20" s="269"/>
      <c r="K20" s="270"/>
      <c r="L20" s="271"/>
      <c r="M20" s="269"/>
      <c r="N20" s="269"/>
      <c r="O20" s="269"/>
      <c r="P20" s="270"/>
      <c r="Q20" s="158"/>
      <c r="R20" s="158"/>
      <c r="S20" s="70" t="s">
        <v>22</v>
      </c>
      <c r="T20" s="70" t="s">
        <v>23</v>
      </c>
      <c r="U20" s="70" t="s">
        <v>23</v>
      </c>
      <c r="V20" s="71" t="s">
        <v>24</v>
      </c>
      <c r="W20" s="71" t="s">
        <v>22</v>
      </c>
      <c r="X20" s="71" t="s">
        <v>22</v>
      </c>
      <c r="Y20" s="71"/>
      <c r="Z20" s="71"/>
      <c r="AA20" s="70"/>
      <c r="AB20" s="70"/>
      <c r="AC20" s="71"/>
      <c r="AD20" s="97"/>
      <c r="AE20" s="97"/>
      <c r="AF20" s="98"/>
      <c r="AG20" s="98"/>
      <c r="AH20" s="98"/>
    </row>
    <row r="21" spans="1:252" ht="18.75" customHeight="1">
      <c r="A21" s="31">
        <f>DATEVALUE(I2&amp;K2)</f>
        <v>42767</v>
      </c>
      <c r="B21" s="203" t="s">
        <v>0</v>
      </c>
      <c r="C21" s="1" t="s">
        <v>8</v>
      </c>
      <c r="D21" s="5"/>
      <c r="E21" s="204" t="s">
        <v>18</v>
      </c>
      <c r="F21" s="173" t="s">
        <v>1</v>
      </c>
      <c r="G21" s="174" t="s">
        <v>6</v>
      </c>
      <c r="H21" s="175" t="s">
        <v>2</v>
      </c>
      <c r="I21" s="204" t="s">
        <v>17</v>
      </c>
      <c r="J21" s="2" t="s">
        <v>21</v>
      </c>
      <c r="K21" s="204" t="s">
        <v>19</v>
      </c>
      <c r="L21" s="275" t="s">
        <v>71</v>
      </c>
      <c r="M21" s="276"/>
      <c r="N21" s="276"/>
      <c r="O21" s="276"/>
      <c r="P21" s="277"/>
      <c r="Q21" s="159"/>
      <c r="R21" s="159"/>
      <c r="S21" s="72" t="s">
        <v>11</v>
      </c>
      <c r="T21" s="72" t="s">
        <v>1</v>
      </c>
      <c r="U21" s="72" t="s">
        <v>6</v>
      </c>
      <c r="V21" s="73" t="s">
        <v>2</v>
      </c>
      <c r="W21" s="73" t="s">
        <v>20</v>
      </c>
      <c r="X21" s="74" t="s">
        <v>21</v>
      </c>
      <c r="Y21" s="73" t="s">
        <v>19</v>
      </c>
      <c r="Z21" s="75"/>
    </row>
    <row r="22" spans="1:252" ht="20.25" customHeight="1">
      <c r="A22" s="32" t="str">
        <f t="shared" ref="A22:A52" si="0">TEXT(B22,"TTTT")</f>
        <v>Mittwoch</v>
      </c>
      <c r="B22" s="33">
        <f>($A$21+ROW(B1)-1)*(MONTH($A$21+1)=MONTH($A$21))</f>
        <v>42767</v>
      </c>
      <c r="C22" s="185" t="str">
        <f>IF(OR(A22="Samstag",A22="Sonntag"),"",IF(COUNTIF(Übersicht!C$16:C$30,B22)&gt;0,"BA",""))</f>
        <v/>
      </c>
      <c r="D22" s="34"/>
      <c r="E22" s="172">
        <f>IF(OR(A22="Samstag",A22="Sonntag",C22="BA"),"",
IF(C22="SV",D22,
IF(OR($E$17="",B22&lt;$E$17),IF($N$13=0,HLOOKUP($A22,$I$11:$M$12,2,FALSE),IF($N$13=$F$12,HLOOKUP($A22,$I$11:$M$13,3,FALSE),"FEHLER")),
IF($N$17=0,HLOOKUP($A22,$I$15:$M$16,2,FALSE),IF($N$17=$F$16,HLOOKUP($A22,$I$15:$M$17,3,FALSE),"FEHLER")))))</f>
        <v>0</v>
      </c>
      <c r="F22" s="195"/>
      <c r="G22" s="196"/>
      <c r="H22" s="197"/>
      <c r="I22" s="38">
        <f t="shared" ref="I22:I52" si="1">IF(OR(C22="K",C22="U",C22="F"),E22,IF(C22="SU",IF(H22="",D22,((H22-F22)-G22)+D22),IF(AND(H22="",E22=""),0,((H22-F22)-G22)*24)))</f>
        <v>0</v>
      </c>
      <c r="J22" s="35">
        <f>IF(E22="Fehler",0,IF(E22="",I22,I22-E22))</f>
        <v>0</v>
      </c>
      <c r="K22" s="36">
        <f>M7+J22</f>
        <v>0</v>
      </c>
      <c r="L22" s="251"/>
      <c r="M22" s="252"/>
      <c r="N22" s="252"/>
      <c r="O22" s="252"/>
      <c r="P22" s="253"/>
      <c r="Q22" s="89"/>
      <c r="R22" s="165"/>
      <c r="S22" s="76"/>
      <c r="T22" s="76"/>
      <c r="U22" s="76"/>
      <c r="V22" s="76"/>
      <c r="W22" s="76"/>
      <c r="X22" s="76"/>
      <c r="Y22" s="76"/>
      <c r="Z22" s="76"/>
      <c r="AB22" s="166"/>
      <c r="AE22" s="99"/>
    </row>
    <row r="23" spans="1:252" s="96" customFormat="1" ht="20.25" customHeight="1">
      <c r="A23" s="32" t="str">
        <f t="shared" si="0"/>
        <v>Donnerstag</v>
      </c>
      <c r="B23" s="37">
        <f t="shared" ref="B23:B52" si="2">($A$21+ROW(B2)-1)*(MONTH(B22+1)=MONTH($A$21))</f>
        <v>42768</v>
      </c>
      <c r="C23" s="185" t="str">
        <f>IF(OR(A23="Samstag",A23="Sonntag"),"",IF(COUNTIF(Übersicht!C$16:C$30,B23)&gt;0,"BA",""))</f>
        <v/>
      </c>
      <c r="D23" s="38"/>
      <c r="E23" s="172">
        <f>IF(OR(A23="Samstag",A23="Sonntag",C23="BA"),"",
IF(C23="SV",D23,
IF(OR($E$17="",B23&lt;$E$17),IF($N$13=0,HLOOKUP($A23,$I$11:$M$12,2,FALSE),IF($N$13=$F$12,HLOOKUP($A23,$I$11:$M$13,3,FALSE),"FEHLER")),
IF($N$17=0,HLOOKUP($A23,$I$15:$M$16,2,FALSE),IF($N$17=$F$16,HLOOKUP($A23,$I$15:$M$17,3,FALSE),"FEHLER")))))</f>
        <v>0</v>
      </c>
      <c r="F23" s="176"/>
      <c r="G23" s="177"/>
      <c r="H23" s="178"/>
      <c r="I23" s="38">
        <f t="shared" si="1"/>
        <v>0</v>
      </c>
      <c r="J23" s="35">
        <f t="shared" ref="J23:J52" si="3">IF(E23="Fehler",0,IF(E23="",I23,I23-E23))</f>
        <v>0</v>
      </c>
      <c r="K23" s="36">
        <f>SUM(K22,J23)</f>
        <v>0</v>
      </c>
      <c r="L23" s="251"/>
      <c r="M23" s="252"/>
      <c r="N23" s="252"/>
      <c r="O23" s="252"/>
      <c r="P23" s="253"/>
      <c r="Q23" s="89"/>
      <c r="R23" s="165"/>
      <c r="S23" s="76"/>
      <c r="T23" s="76"/>
      <c r="U23" s="76"/>
      <c r="V23" s="76"/>
      <c r="W23" s="76"/>
      <c r="X23" s="76"/>
      <c r="Y23" s="76"/>
      <c r="Z23" s="76"/>
      <c r="AA23" s="68"/>
      <c r="AB23" s="166"/>
      <c r="AC23" s="6"/>
      <c r="AD23" s="95"/>
      <c r="AE23" s="99"/>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row>
    <row r="24" spans="1:252" s="96" customFormat="1" ht="20.25" customHeight="1">
      <c r="A24" s="32" t="str">
        <f t="shared" si="0"/>
        <v>Freitag</v>
      </c>
      <c r="B24" s="37">
        <f t="shared" si="2"/>
        <v>42769</v>
      </c>
      <c r="C24" s="185" t="str">
        <f>IF(OR(A24="Samstag",A24="Sonntag"),"",IF(COUNTIF(Übersicht!C$16:C$30,B24)&gt;0,"BA",""))</f>
        <v/>
      </c>
      <c r="D24" s="38"/>
      <c r="E24" s="172">
        <f t="shared" ref="E24:E52" si="4">IF(OR(A24="Samstag",A24="Sonntag",C24="BA"),"",
IF(C24="SV",D24,
IF(OR($E$17="",B24&lt;$E$17),IF($N$13=0,HLOOKUP($A24,$I$11:$M$12,2,FALSE),IF($N$13=$F$12,HLOOKUP($A24,$I$11:$M$13,3,FALSE),"FEHLER")),
IF($N$17=0,HLOOKUP($A24,$I$15:$M$16,2,FALSE),IF($N$17=$F$16,HLOOKUP($A24,$I$15:$M$17,3,FALSE),"FEHLER")))))</f>
        <v>0</v>
      </c>
      <c r="F24" s="176"/>
      <c r="G24" s="177"/>
      <c r="H24" s="178"/>
      <c r="I24" s="38">
        <f t="shared" si="1"/>
        <v>0</v>
      </c>
      <c r="J24" s="35">
        <f t="shared" si="3"/>
        <v>0</v>
      </c>
      <c r="K24" s="36">
        <f t="shared" ref="K24:K52" si="5">SUM(K23,J24)</f>
        <v>0</v>
      </c>
      <c r="L24" s="251"/>
      <c r="M24" s="252"/>
      <c r="N24" s="252"/>
      <c r="O24" s="252"/>
      <c r="P24" s="253"/>
      <c r="Q24" s="89"/>
      <c r="R24" s="165"/>
      <c r="S24" s="76"/>
      <c r="T24" s="76"/>
      <c r="U24" s="76"/>
      <c r="V24" s="76"/>
      <c r="W24" s="76"/>
      <c r="X24" s="76"/>
      <c r="Y24" s="76"/>
      <c r="Z24" s="76"/>
      <c r="AA24" s="68"/>
      <c r="AB24" s="166"/>
      <c r="AC24" s="6"/>
      <c r="AD24" s="95"/>
      <c r="AE24" s="99"/>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row>
    <row r="25" spans="1:252" s="96" customFormat="1" ht="20.25" customHeight="1">
      <c r="A25" s="32" t="str">
        <f t="shared" si="0"/>
        <v>Samstag</v>
      </c>
      <c r="B25" s="37">
        <f t="shared" si="2"/>
        <v>42770</v>
      </c>
      <c r="C25" s="185" t="str">
        <f>IF(OR(A25="Samstag",A25="Sonntag"),"",IF(COUNTIF(Übersicht!C$16:C$30,B25)&gt;0,"BA",""))</f>
        <v/>
      </c>
      <c r="D25" s="38"/>
      <c r="E25" s="172" t="str">
        <f t="shared" si="4"/>
        <v/>
      </c>
      <c r="F25" s="176"/>
      <c r="G25" s="177"/>
      <c r="H25" s="178"/>
      <c r="I25" s="38">
        <f t="shared" si="1"/>
        <v>0</v>
      </c>
      <c r="J25" s="35">
        <f t="shared" si="3"/>
        <v>0</v>
      </c>
      <c r="K25" s="36">
        <f t="shared" si="5"/>
        <v>0</v>
      </c>
      <c r="L25" s="251"/>
      <c r="M25" s="252"/>
      <c r="N25" s="252"/>
      <c r="O25" s="252"/>
      <c r="P25" s="253"/>
      <c r="Q25" s="89"/>
      <c r="R25" s="165"/>
      <c r="S25" s="76"/>
      <c r="T25" s="76"/>
      <c r="U25" s="76"/>
      <c r="V25" s="76"/>
      <c r="W25" s="76"/>
      <c r="X25" s="76"/>
      <c r="Y25" s="76"/>
      <c r="Z25" s="76"/>
      <c r="AA25" s="68"/>
      <c r="AB25" s="166"/>
      <c r="AC25" s="6"/>
      <c r="AD25" s="95"/>
      <c r="AE25" s="99"/>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row>
    <row r="26" spans="1:252" s="96" customFormat="1" ht="20.25" customHeight="1">
      <c r="A26" s="32" t="str">
        <f t="shared" si="0"/>
        <v>Sonntag</v>
      </c>
      <c r="B26" s="37">
        <f t="shared" si="2"/>
        <v>42771</v>
      </c>
      <c r="C26" s="185" t="str">
        <f>IF(OR(A26="Samstag",A26="Sonntag"),"",IF(COUNTIF(Übersicht!C$16:C$30,B26)&gt;0,"BA",""))</f>
        <v/>
      </c>
      <c r="D26" s="38"/>
      <c r="E26" s="172" t="str">
        <f t="shared" si="4"/>
        <v/>
      </c>
      <c r="F26" s="176"/>
      <c r="G26" s="177"/>
      <c r="H26" s="178"/>
      <c r="I26" s="38">
        <f t="shared" si="1"/>
        <v>0</v>
      </c>
      <c r="J26" s="35">
        <f t="shared" si="3"/>
        <v>0</v>
      </c>
      <c r="K26" s="36">
        <f t="shared" si="5"/>
        <v>0</v>
      </c>
      <c r="L26" s="251"/>
      <c r="M26" s="252"/>
      <c r="N26" s="252"/>
      <c r="O26" s="252"/>
      <c r="P26" s="253"/>
      <c r="Q26" s="89"/>
      <c r="R26" s="212"/>
      <c r="S26" s="76"/>
      <c r="T26" s="76"/>
      <c r="U26" s="76"/>
      <c r="V26" s="76"/>
      <c r="W26" s="76"/>
      <c r="X26" s="76"/>
      <c r="Y26" s="76"/>
      <c r="Z26" s="76"/>
      <c r="AA26" s="68"/>
      <c r="AB26" s="166"/>
      <c r="AC26" s="6"/>
      <c r="AD26" s="95"/>
      <c r="AE26" s="99"/>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row>
    <row r="27" spans="1:252" s="96" customFormat="1" ht="20.25" customHeight="1">
      <c r="A27" s="32" t="str">
        <f t="shared" si="0"/>
        <v>Montag</v>
      </c>
      <c r="B27" s="37">
        <f t="shared" si="2"/>
        <v>42772</v>
      </c>
      <c r="C27" s="185" t="str">
        <f>IF(OR(A27="Samstag",A27="Sonntag"),"",IF(COUNTIF(Übersicht!C$16:C$30,B27)&gt;0,"BA",""))</f>
        <v/>
      </c>
      <c r="D27" s="38"/>
      <c r="E27" s="172">
        <f t="shared" si="4"/>
        <v>0</v>
      </c>
      <c r="F27" s="176"/>
      <c r="G27" s="177"/>
      <c r="H27" s="178"/>
      <c r="I27" s="38">
        <f t="shared" si="1"/>
        <v>0</v>
      </c>
      <c r="J27" s="35">
        <f t="shared" si="3"/>
        <v>0</v>
      </c>
      <c r="K27" s="36">
        <f>SUM(K26,J27)</f>
        <v>0</v>
      </c>
      <c r="L27" s="251"/>
      <c r="M27" s="252"/>
      <c r="N27" s="252"/>
      <c r="O27" s="252"/>
      <c r="P27" s="253"/>
      <c r="Q27" s="89"/>
      <c r="R27" s="212"/>
      <c r="S27" s="76"/>
      <c r="T27" s="76"/>
      <c r="U27" s="76"/>
      <c r="V27" s="76"/>
      <c r="W27" s="76"/>
      <c r="X27" s="76"/>
      <c r="Y27" s="76"/>
      <c r="Z27" s="76"/>
      <c r="AA27" s="68"/>
      <c r="AB27" s="166"/>
      <c r="AC27" s="6"/>
      <c r="AD27" s="95"/>
      <c r="AE27" s="99"/>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row>
    <row r="28" spans="1:252" s="96" customFormat="1" ht="20.25" customHeight="1">
      <c r="A28" s="32" t="str">
        <f t="shared" si="0"/>
        <v>Dienstag</v>
      </c>
      <c r="B28" s="37">
        <f t="shared" si="2"/>
        <v>42773</v>
      </c>
      <c r="C28" s="185" t="str">
        <f>IF(OR(A28="Samstag",A28="Sonntag"),"",IF(COUNTIF(Übersicht!C$16:C$30,B28)&gt;0,"BA",""))</f>
        <v/>
      </c>
      <c r="D28" s="38"/>
      <c r="E28" s="172">
        <f t="shared" si="4"/>
        <v>0</v>
      </c>
      <c r="F28" s="176"/>
      <c r="G28" s="177"/>
      <c r="H28" s="178"/>
      <c r="I28" s="38">
        <f t="shared" si="1"/>
        <v>0</v>
      </c>
      <c r="J28" s="35">
        <f t="shared" si="3"/>
        <v>0</v>
      </c>
      <c r="K28" s="36">
        <f t="shared" si="5"/>
        <v>0</v>
      </c>
      <c r="L28" s="251"/>
      <c r="M28" s="252"/>
      <c r="N28" s="252"/>
      <c r="O28" s="252"/>
      <c r="P28" s="253"/>
      <c r="Q28" s="89"/>
      <c r="R28" s="212"/>
      <c r="S28" s="76"/>
      <c r="T28" s="76"/>
      <c r="U28" s="76"/>
      <c r="V28" s="76"/>
      <c r="W28" s="76"/>
      <c r="X28" s="76"/>
      <c r="Y28" s="76"/>
      <c r="Z28" s="76"/>
      <c r="AA28" s="68"/>
      <c r="AB28" s="166"/>
      <c r="AC28" s="6"/>
      <c r="AD28" s="95"/>
      <c r="AE28" s="99"/>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row>
    <row r="29" spans="1:252" s="96" customFormat="1" ht="20.25" customHeight="1">
      <c r="A29" s="32" t="str">
        <f t="shared" si="0"/>
        <v>Mittwoch</v>
      </c>
      <c r="B29" s="37">
        <f t="shared" si="2"/>
        <v>42774</v>
      </c>
      <c r="C29" s="185" t="str">
        <f>IF(OR(A29="Samstag",A29="Sonntag"),"",IF(COUNTIF(Übersicht!C$16:C$30,B29)&gt;0,"BA",""))</f>
        <v/>
      </c>
      <c r="D29" s="38"/>
      <c r="E29" s="172">
        <f t="shared" si="4"/>
        <v>0</v>
      </c>
      <c r="F29" s="176"/>
      <c r="G29" s="177"/>
      <c r="H29" s="178"/>
      <c r="I29" s="38">
        <f t="shared" si="1"/>
        <v>0</v>
      </c>
      <c r="J29" s="35">
        <f t="shared" si="3"/>
        <v>0</v>
      </c>
      <c r="K29" s="36">
        <f t="shared" si="5"/>
        <v>0</v>
      </c>
      <c r="L29" s="251"/>
      <c r="M29" s="252"/>
      <c r="N29" s="252"/>
      <c r="O29" s="252"/>
      <c r="P29" s="253"/>
      <c r="Q29" s="89"/>
      <c r="R29" s="212"/>
      <c r="S29" s="76"/>
      <c r="T29" s="76"/>
      <c r="U29" s="76"/>
      <c r="V29" s="76"/>
      <c r="W29" s="76"/>
      <c r="X29" s="76"/>
      <c r="Y29" s="76"/>
      <c r="Z29" s="76"/>
      <c r="AA29" s="68"/>
      <c r="AB29" s="166"/>
      <c r="AC29" s="6"/>
      <c r="AD29" s="95"/>
      <c r="AE29" s="99"/>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row>
    <row r="30" spans="1:252" s="96" customFormat="1" ht="20.25" customHeight="1">
      <c r="A30" s="32" t="str">
        <f t="shared" si="0"/>
        <v>Donnerstag</v>
      </c>
      <c r="B30" s="37">
        <f t="shared" si="2"/>
        <v>42775</v>
      </c>
      <c r="C30" s="185" t="str">
        <f>IF(OR(A30="Samstag",A30="Sonntag"),"",IF(COUNTIF(Übersicht!C$16:C$30,B30)&gt;0,"BA",""))</f>
        <v/>
      </c>
      <c r="D30" s="38"/>
      <c r="E30" s="172">
        <f t="shared" si="4"/>
        <v>0</v>
      </c>
      <c r="F30" s="176"/>
      <c r="G30" s="177"/>
      <c r="H30" s="178"/>
      <c r="I30" s="38">
        <f t="shared" si="1"/>
        <v>0</v>
      </c>
      <c r="J30" s="35">
        <f t="shared" si="3"/>
        <v>0</v>
      </c>
      <c r="K30" s="36">
        <f t="shared" si="5"/>
        <v>0</v>
      </c>
      <c r="L30" s="251"/>
      <c r="M30" s="252"/>
      <c r="N30" s="252"/>
      <c r="O30" s="252"/>
      <c r="P30" s="253"/>
      <c r="Q30" s="89"/>
      <c r="R30" s="212"/>
      <c r="S30" s="76"/>
      <c r="T30" s="76"/>
      <c r="U30" s="76"/>
      <c r="V30" s="76"/>
      <c r="W30" s="76"/>
      <c r="X30" s="76"/>
      <c r="Y30" s="76"/>
      <c r="Z30" s="76"/>
      <c r="AA30" s="68"/>
      <c r="AB30" s="166"/>
      <c r="AC30" s="6"/>
      <c r="AD30" s="95"/>
      <c r="AE30" s="99"/>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row>
    <row r="31" spans="1:252" s="96" customFormat="1" ht="20.25" customHeight="1">
      <c r="A31" s="32" t="str">
        <f t="shared" si="0"/>
        <v>Freitag</v>
      </c>
      <c r="B31" s="37">
        <f t="shared" si="2"/>
        <v>42776</v>
      </c>
      <c r="C31" s="185" t="str">
        <f>IF(OR(A31="Samstag",A31="Sonntag"),"",IF(COUNTIF(Übersicht!C$16:C$30,B31)&gt;0,"BA",""))</f>
        <v/>
      </c>
      <c r="D31" s="38"/>
      <c r="E31" s="172">
        <f t="shared" si="4"/>
        <v>0</v>
      </c>
      <c r="F31" s="176"/>
      <c r="G31" s="177"/>
      <c r="H31" s="178"/>
      <c r="I31" s="38">
        <f t="shared" si="1"/>
        <v>0</v>
      </c>
      <c r="J31" s="35">
        <f t="shared" si="3"/>
        <v>0</v>
      </c>
      <c r="K31" s="36">
        <f t="shared" si="5"/>
        <v>0</v>
      </c>
      <c r="L31" s="251"/>
      <c r="M31" s="252"/>
      <c r="N31" s="252"/>
      <c r="O31" s="252"/>
      <c r="P31" s="253"/>
      <c r="Q31" s="89"/>
      <c r="R31" s="212"/>
      <c r="S31" s="76"/>
      <c r="T31" s="76"/>
      <c r="U31" s="76"/>
      <c r="V31" s="76"/>
      <c r="W31" s="76"/>
      <c r="X31" s="76"/>
      <c r="Y31" s="76"/>
      <c r="Z31" s="76"/>
      <c r="AA31" s="68"/>
      <c r="AB31" s="166"/>
      <c r="AC31" s="6"/>
      <c r="AD31" s="95"/>
      <c r="AE31" s="99"/>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row>
    <row r="32" spans="1:252" s="96" customFormat="1" ht="20.25" customHeight="1">
      <c r="A32" s="32" t="str">
        <f t="shared" si="0"/>
        <v>Samstag</v>
      </c>
      <c r="B32" s="37">
        <f t="shared" si="2"/>
        <v>42777</v>
      </c>
      <c r="C32" s="185" t="str">
        <f>IF(OR(A32="Samstag",A32="Sonntag"),"",IF(COUNTIF(Übersicht!C$16:C$30,B32)&gt;0,"BA",""))</f>
        <v/>
      </c>
      <c r="D32" s="38"/>
      <c r="E32" s="172" t="str">
        <f t="shared" si="4"/>
        <v/>
      </c>
      <c r="F32" s="176"/>
      <c r="G32" s="177"/>
      <c r="H32" s="178"/>
      <c r="I32" s="38">
        <f t="shared" si="1"/>
        <v>0</v>
      </c>
      <c r="J32" s="35">
        <f t="shared" si="3"/>
        <v>0</v>
      </c>
      <c r="K32" s="36">
        <f t="shared" si="5"/>
        <v>0</v>
      </c>
      <c r="L32" s="251"/>
      <c r="M32" s="252"/>
      <c r="N32" s="252"/>
      <c r="O32" s="252"/>
      <c r="P32" s="253"/>
      <c r="Q32" s="89"/>
      <c r="R32" s="212"/>
      <c r="S32" s="76"/>
      <c r="T32" s="76"/>
      <c r="U32" s="76"/>
      <c r="V32" s="76"/>
      <c r="W32" s="76"/>
      <c r="X32" s="76"/>
      <c r="Y32" s="76"/>
      <c r="Z32" s="76"/>
      <c r="AA32" s="68"/>
      <c r="AB32" s="166"/>
      <c r="AC32" s="6"/>
      <c r="AD32" s="95"/>
      <c r="AE32" s="99"/>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row>
    <row r="33" spans="1:252" s="96" customFormat="1" ht="20.25" customHeight="1">
      <c r="A33" s="32" t="str">
        <f t="shared" si="0"/>
        <v>Sonntag</v>
      </c>
      <c r="B33" s="37">
        <f t="shared" si="2"/>
        <v>42778</v>
      </c>
      <c r="C33" s="185" t="str">
        <f>IF(OR(A33="Samstag",A33="Sonntag"),"",IF(COUNTIF(Übersicht!C$16:C$30,B33)&gt;0,"BA",""))</f>
        <v/>
      </c>
      <c r="D33" s="38"/>
      <c r="E33" s="172" t="str">
        <f t="shared" si="4"/>
        <v/>
      </c>
      <c r="F33" s="176"/>
      <c r="G33" s="177"/>
      <c r="H33" s="178"/>
      <c r="I33" s="38">
        <f t="shared" si="1"/>
        <v>0</v>
      </c>
      <c r="J33" s="35">
        <f t="shared" si="3"/>
        <v>0</v>
      </c>
      <c r="K33" s="36">
        <f t="shared" si="5"/>
        <v>0</v>
      </c>
      <c r="L33" s="251"/>
      <c r="M33" s="252"/>
      <c r="N33" s="252"/>
      <c r="O33" s="252"/>
      <c r="P33" s="253"/>
      <c r="Q33" s="89"/>
      <c r="R33" s="212"/>
      <c r="S33" s="76"/>
      <c r="T33" s="76"/>
      <c r="U33" s="76"/>
      <c r="V33" s="76"/>
      <c r="W33" s="76"/>
      <c r="X33" s="76"/>
      <c r="Y33" s="76"/>
      <c r="Z33" s="76"/>
      <c r="AA33" s="68"/>
      <c r="AB33" s="166"/>
      <c r="AC33" s="6"/>
      <c r="AD33" s="95"/>
      <c r="AE33" s="99"/>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row>
    <row r="34" spans="1:252" s="96" customFormat="1" ht="20.25" customHeight="1">
      <c r="A34" s="32" t="str">
        <f t="shared" si="0"/>
        <v>Montag</v>
      </c>
      <c r="B34" s="37">
        <f t="shared" si="2"/>
        <v>42779</v>
      </c>
      <c r="C34" s="185" t="str">
        <f>IF(OR(A34="Samstag",A34="Sonntag"),"",IF(COUNTIF(Übersicht!C$16:C$30,B34)&gt;0,"BA",""))</f>
        <v/>
      </c>
      <c r="D34" s="38"/>
      <c r="E34" s="172">
        <f t="shared" si="4"/>
        <v>0</v>
      </c>
      <c r="F34" s="176"/>
      <c r="G34" s="177"/>
      <c r="H34" s="178"/>
      <c r="I34" s="38">
        <f t="shared" si="1"/>
        <v>0</v>
      </c>
      <c r="J34" s="35">
        <f t="shared" si="3"/>
        <v>0</v>
      </c>
      <c r="K34" s="36">
        <f t="shared" si="5"/>
        <v>0</v>
      </c>
      <c r="L34" s="251"/>
      <c r="M34" s="252"/>
      <c r="N34" s="252"/>
      <c r="O34" s="252"/>
      <c r="P34" s="253"/>
      <c r="Q34" s="89"/>
      <c r="R34" s="212"/>
      <c r="S34" s="76"/>
      <c r="T34" s="76"/>
      <c r="U34" s="76"/>
      <c r="V34" s="76"/>
      <c r="W34" s="76"/>
      <c r="X34" s="76"/>
      <c r="Y34" s="76"/>
      <c r="Z34" s="76"/>
      <c r="AA34" s="68"/>
      <c r="AB34" s="166"/>
      <c r="AC34" s="6"/>
      <c r="AD34" s="95"/>
      <c r="AE34" s="99"/>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row>
    <row r="35" spans="1:252" s="96" customFormat="1" ht="20.25" customHeight="1">
      <c r="A35" s="32" t="str">
        <f t="shared" si="0"/>
        <v>Dienstag</v>
      </c>
      <c r="B35" s="37">
        <f t="shared" si="2"/>
        <v>42780</v>
      </c>
      <c r="C35" s="185" t="str">
        <f>IF(OR(A35="Samstag",A35="Sonntag"),"",IF(COUNTIF(Übersicht!C$16:C$30,B35)&gt;0,"BA",""))</f>
        <v/>
      </c>
      <c r="D35" s="38"/>
      <c r="E35" s="172">
        <f t="shared" si="4"/>
        <v>0</v>
      </c>
      <c r="F35" s="176"/>
      <c r="G35" s="177"/>
      <c r="H35" s="178"/>
      <c r="I35" s="38">
        <f t="shared" si="1"/>
        <v>0</v>
      </c>
      <c r="J35" s="35">
        <f t="shared" si="3"/>
        <v>0</v>
      </c>
      <c r="K35" s="36">
        <f t="shared" si="5"/>
        <v>0</v>
      </c>
      <c r="L35" s="251"/>
      <c r="M35" s="252"/>
      <c r="N35" s="252"/>
      <c r="O35" s="252"/>
      <c r="P35" s="253"/>
      <c r="Q35" s="89"/>
      <c r="R35" s="212"/>
      <c r="S35" s="76"/>
      <c r="T35" s="76"/>
      <c r="U35" s="76"/>
      <c r="V35" s="76"/>
      <c r="W35" s="76"/>
      <c r="X35" s="76"/>
      <c r="Y35" s="76"/>
      <c r="Z35" s="76"/>
      <c r="AA35" s="68"/>
      <c r="AB35" s="166"/>
      <c r="AC35" s="6"/>
      <c r="AD35" s="95"/>
      <c r="AE35" s="99"/>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row>
    <row r="36" spans="1:252" s="96" customFormat="1" ht="20.25" customHeight="1">
      <c r="A36" s="32" t="str">
        <f t="shared" si="0"/>
        <v>Mittwoch</v>
      </c>
      <c r="B36" s="37">
        <f t="shared" si="2"/>
        <v>42781</v>
      </c>
      <c r="C36" s="185" t="str">
        <f>IF(OR(A36="Samstag",A36="Sonntag"),"",IF(COUNTIF(Übersicht!C$16:C$30,B36)&gt;0,"BA",""))</f>
        <v/>
      </c>
      <c r="D36" s="38"/>
      <c r="E36" s="172">
        <f t="shared" si="4"/>
        <v>0</v>
      </c>
      <c r="F36" s="176"/>
      <c r="G36" s="177"/>
      <c r="H36" s="178"/>
      <c r="I36" s="38">
        <f t="shared" si="1"/>
        <v>0</v>
      </c>
      <c r="J36" s="35">
        <f t="shared" si="3"/>
        <v>0</v>
      </c>
      <c r="K36" s="36">
        <f t="shared" si="5"/>
        <v>0</v>
      </c>
      <c r="L36" s="251"/>
      <c r="M36" s="252"/>
      <c r="N36" s="252"/>
      <c r="O36" s="252"/>
      <c r="P36" s="253"/>
      <c r="Q36" s="89"/>
      <c r="R36" s="212"/>
      <c r="S36" s="76"/>
      <c r="T36" s="76"/>
      <c r="U36" s="76"/>
      <c r="V36" s="76"/>
      <c r="W36" s="76"/>
      <c r="X36" s="76"/>
      <c r="Y36" s="76"/>
      <c r="Z36" s="76"/>
      <c r="AA36" s="68"/>
      <c r="AB36" s="166"/>
      <c r="AC36" s="6"/>
      <c r="AD36" s="95"/>
      <c r="AE36" s="99"/>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row>
    <row r="37" spans="1:252" s="96" customFormat="1" ht="20.25" customHeight="1">
      <c r="A37" s="32" t="str">
        <f t="shared" si="0"/>
        <v>Donnerstag</v>
      </c>
      <c r="B37" s="37">
        <f t="shared" si="2"/>
        <v>42782</v>
      </c>
      <c r="C37" s="185" t="str">
        <f>IF(OR(A37="Samstag",A37="Sonntag"),"",IF(COUNTIF(Übersicht!C$16:C$30,B37)&gt;0,"BA",""))</f>
        <v/>
      </c>
      <c r="D37" s="38"/>
      <c r="E37" s="172">
        <f t="shared" si="4"/>
        <v>0</v>
      </c>
      <c r="F37" s="176"/>
      <c r="G37" s="177"/>
      <c r="H37" s="178"/>
      <c r="I37" s="38">
        <f t="shared" si="1"/>
        <v>0</v>
      </c>
      <c r="J37" s="35">
        <f t="shared" si="3"/>
        <v>0</v>
      </c>
      <c r="K37" s="36">
        <f t="shared" si="5"/>
        <v>0</v>
      </c>
      <c r="L37" s="251"/>
      <c r="M37" s="252"/>
      <c r="N37" s="252"/>
      <c r="O37" s="252"/>
      <c r="P37" s="253"/>
      <c r="Q37" s="89"/>
      <c r="R37" s="212"/>
      <c r="S37" s="76"/>
      <c r="T37" s="76"/>
      <c r="U37" s="76"/>
      <c r="V37" s="76"/>
      <c r="W37" s="76"/>
      <c r="X37" s="76"/>
      <c r="Y37" s="76"/>
      <c r="Z37" s="76"/>
      <c r="AA37" s="68"/>
      <c r="AB37" s="166"/>
      <c r="AC37" s="6"/>
      <c r="AD37" s="95"/>
      <c r="AE37" s="99"/>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row>
    <row r="38" spans="1:252" s="96" customFormat="1" ht="20.25" customHeight="1">
      <c r="A38" s="32" t="str">
        <f t="shared" si="0"/>
        <v>Freitag</v>
      </c>
      <c r="B38" s="37">
        <f t="shared" si="2"/>
        <v>42783</v>
      </c>
      <c r="C38" s="185" t="str">
        <f>IF(OR(A38="Samstag",A38="Sonntag"),"",IF(COUNTIF(Übersicht!C$16:C$30,B38)&gt;0,"BA",""))</f>
        <v/>
      </c>
      <c r="D38" s="38"/>
      <c r="E38" s="172">
        <f t="shared" si="4"/>
        <v>0</v>
      </c>
      <c r="F38" s="176"/>
      <c r="G38" s="177"/>
      <c r="H38" s="178"/>
      <c r="I38" s="38">
        <f t="shared" si="1"/>
        <v>0</v>
      </c>
      <c r="J38" s="35">
        <f t="shared" si="3"/>
        <v>0</v>
      </c>
      <c r="K38" s="36">
        <f t="shared" si="5"/>
        <v>0</v>
      </c>
      <c r="L38" s="251"/>
      <c r="M38" s="252"/>
      <c r="N38" s="252"/>
      <c r="O38" s="252"/>
      <c r="P38" s="253"/>
      <c r="Q38" s="89"/>
      <c r="R38" s="212"/>
      <c r="S38" s="76"/>
      <c r="T38" s="76"/>
      <c r="U38" s="76"/>
      <c r="V38" s="76"/>
      <c r="W38" s="76"/>
      <c r="X38" s="76"/>
      <c r="Y38" s="76"/>
      <c r="Z38" s="76"/>
      <c r="AA38" s="68"/>
      <c r="AB38" s="166"/>
      <c r="AC38" s="6"/>
      <c r="AD38" s="95"/>
      <c r="AE38" s="99"/>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row>
    <row r="39" spans="1:252" s="96" customFormat="1" ht="20.25" customHeight="1">
      <c r="A39" s="32" t="str">
        <f t="shared" si="0"/>
        <v>Samstag</v>
      </c>
      <c r="B39" s="37">
        <f t="shared" si="2"/>
        <v>42784</v>
      </c>
      <c r="C39" s="185" t="str">
        <f>IF(OR(A39="Samstag",A39="Sonntag"),"",IF(COUNTIF(Übersicht!C$16:C$30,B39)&gt;0,"BA",""))</f>
        <v/>
      </c>
      <c r="D39" s="38"/>
      <c r="E39" s="172" t="str">
        <f t="shared" si="4"/>
        <v/>
      </c>
      <c r="F39" s="176"/>
      <c r="G39" s="177"/>
      <c r="H39" s="178"/>
      <c r="I39" s="38">
        <f t="shared" si="1"/>
        <v>0</v>
      </c>
      <c r="J39" s="35">
        <f t="shared" si="3"/>
        <v>0</v>
      </c>
      <c r="K39" s="36">
        <f t="shared" si="5"/>
        <v>0</v>
      </c>
      <c r="L39" s="251"/>
      <c r="M39" s="252"/>
      <c r="N39" s="252"/>
      <c r="O39" s="252"/>
      <c r="P39" s="253"/>
      <c r="Q39" s="89"/>
      <c r="R39" s="212"/>
      <c r="S39" s="76"/>
      <c r="T39" s="76"/>
      <c r="U39" s="76"/>
      <c r="V39" s="76"/>
      <c r="W39" s="76"/>
      <c r="X39" s="76"/>
      <c r="Y39" s="76"/>
      <c r="Z39" s="76"/>
      <c r="AA39" s="68"/>
      <c r="AB39" s="166"/>
      <c r="AC39" s="6"/>
      <c r="AD39" s="95"/>
      <c r="AE39" s="99"/>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row>
    <row r="40" spans="1:252" s="96" customFormat="1" ht="20.25" customHeight="1">
      <c r="A40" s="32" t="str">
        <f t="shared" si="0"/>
        <v>Sonntag</v>
      </c>
      <c r="B40" s="37">
        <f t="shared" si="2"/>
        <v>42785</v>
      </c>
      <c r="C40" s="185" t="str">
        <f>IF(OR(A40="Samstag",A40="Sonntag"),"",IF(COUNTIF(Übersicht!C$16:C$30,B40)&gt;0,"BA",""))</f>
        <v/>
      </c>
      <c r="D40" s="38"/>
      <c r="E40" s="172" t="str">
        <f t="shared" si="4"/>
        <v/>
      </c>
      <c r="F40" s="176"/>
      <c r="G40" s="177"/>
      <c r="H40" s="178"/>
      <c r="I40" s="38">
        <f t="shared" si="1"/>
        <v>0</v>
      </c>
      <c r="J40" s="35">
        <f t="shared" si="3"/>
        <v>0</v>
      </c>
      <c r="K40" s="36">
        <f t="shared" si="5"/>
        <v>0</v>
      </c>
      <c r="L40" s="251"/>
      <c r="M40" s="252"/>
      <c r="N40" s="252"/>
      <c r="O40" s="252"/>
      <c r="P40" s="253"/>
      <c r="Q40" s="89"/>
      <c r="R40" s="212"/>
      <c r="S40" s="76"/>
      <c r="T40" s="76"/>
      <c r="U40" s="76"/>
      <c r="V40" s="76"/>
      <c r="W40" s="76"/>
      <c r="X40" s="76"/>
      <c r="Y40" s="76"/>
      <c r="Z40" s="76"/>
      <c r="AA40" s="68"/>
      <c r="AB40" s="166"/>
      <c r="AC40" s="6"/>
      <c r="AD40" s="95"/>
      <c r="AE40" s="99"/>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row>
    <row r="41" spans="1:252" s="96" customFormat="1" ht="20.25" customHeight="1">
      <c r="A41" s="32" t="str">
        <f t="shared" si="0"/>
        <v>Montag</v>
      </c>
      <c r="B41" s="37">
        <f t="shared" si="2"/>
        <v>42786</v>
      </c>
      <c r="C41" s="185" t="str">
        <f>IF(OR(A41="Samstag",A41="Sonntag"),"",IF(COUNTIF(Übersicht!C$16:C$30,B41)&gt;0,"BA",""))</f>
        <v/>
      </c>
      <c r="D41" s="38"/>
      <c r="E41" s="172">
        <f t="shared" si="4"/>
        <v>0</v>
      </c>
      <c r="F41" s="176"/>
      <c r="G41" s="177"/>
      <c r="H41" s="178"/>
      <c r="I41" s="38">
        <f t="shared" si="1"/>
        <v>0</v>
      </c>
      <c r="J41" s="35">
        <f t="shared" si="3"/>
        <v>0</v>
      </c>
      <c r="K41" s="36">
        <f t="shared" si="5"/>
        <v>0</v>
      </c>
      <c r="L41" s="251"/>
      <c r="M41" s="252"/>
      <c r="N41" s="252"/>
      <c r="O41" s="252"/>
      <c r="P41" s="253"/>
      <c r="Q41" s="89"/>
      <c r="R41" s="212"/>
      <c r="S41" s="76"/>
      <c r="T41" s="76"/>
      <c r="U41" s="76"/>
      <c r="V41" s="76"/>
      <c r="W41" s="76"/>
      <c r="X41" s="76"/>
      <c r="Y41" s="76"/>
      <c r="Z41" s="76"/>
      <c r="AA41" s="68"/>
      <c r="AB41" s="166"/>
      <c r="AC41" s="6"/>
      <c r="AD41" s="95"/>
      <c r="AE41" s="99"/>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row>
    <row r="42" spans="1:252" s="96" customFormat="1" ht="20.25" customHeight="1">
      <c r="A42" s="32" t="str">
        <f t="shared" si="0"/>
        <v>Dienstag</v>
      </c>
      <c r="B42" s="37">
        <f t="shared" si="2"/>
        <v>42787</v>
      </c>
      <c r="C42" s="185" t="str">
        <f>IF(OR(A42="Samstag",A42="Sonntag"),"",IF(COUNTIF(Übersicht!C$16:C$30,B42)&gt;0,"BA",""))</f>
        <v/>
      </c>
      <c r="D42" s="38"/>
      <c r="E42" s="172">
        <f t="shared" si="4"/>
        <v>0</v>
      </c>
      <c r="F42" s="176"/>
      <c r="G42" s="177"/>
      <c r="H42" s="178"/>
      <c r="I42" s="38">
        <f t="shared" si="1"/>
        <v>0</v>
      </c>
      <c r="J42" s="35">
        <f t="shared" si="3"/>
        <v>0</v>
      </c>
      <c r="K42" s="36">
        <f t="shared" si="5"/>
        <v>0</v>
      </c>
      <c r="L42" s="251"/>
      <c r="M42" s="252"/>
      <c r="N42" s="252"/>
      <c r="O42" s="252"/>
      <c r="P42" s="253"/>
      <c r="Q42" s="89"/>
      <c r="R42" s="212"/>
      <c r="S42" s="76"/>
      <c r="T42" s="76"/>
      <c r="U42" s="76"/>
      <c r="V42" s="76"/>
      <c r="W42" s="76"/>
      <c r="X42" s="76"/>
      <c r="Y42" s="76"/>
      <c r="Z42" s="76"/>
      <c r="AA42" s="68"/>
      <c r="AB42" s="166"/>
      <c r="AC42" s="6"/>
      <c r="AD42" s="95"/>
      <c r="AE42" s="99"/>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row>
    <row r="43" spans="1:252" s="96" customFormat="1" ht="20.25" customHeight="1">
      <c r="A43" s="32" t="str">
        <f t="shared" si="0"/>
        <v>Mittwoch</v>
      </c>
      <c r="B43" s="37">
        <f t="shared" si="2"/>
        <v>42788</v>
      </c>
      <c r="C43" s="185" t="str">
        <f>IF(OR(A43="Samstag",A43="Sonntag"),"",IF(COUNTIF(Übersicht!C$16:C$30,B43)&gt;0,"BA",""))</f>
        <v/>
      </c>
      <c r="D43" s="38"/>
      <c r="E43" s="172">
        <f t="shared" si="4"/>
        <v>0</v>
      </c>
      <c r="F43" s="176"/>
      <c r="G43" s="177"/>
      <c r="H43" s="178"/>
      <c r="I43" s="38">
        <f t="shared" si="1"/>
        <v>0</v>
      </c>
      <c r="J43" s="35">
        <f t="shared" si="3"/>
        <v>0</v>
      </c>
      <c r="K43" s="36">
        <f t="shared" si="5"/>
        <v>0</v>
      </c>
      <c r="L43" s="251"/>
      <c r="M43" s="252"/>
      <c r="N43" s="252"/>
      <c r="O43" s="252"/>
      <c r="P43" s="253"/>
      <c r="Q43" s="89"/>
      <c r="R43" s="212"/>
      <c r="S43" s="76"/>
      <c r="T43" s="76"/>
      <c r="U43" s="76"/>
      <c r="V43" s="76"/>
      <c r="W43" s="76"/>
      <c r="X43" s="76"/>
      <c r="Y43" s="76"/>
      <c r="Z43" s="76"/>
      <c r="AA43" s="68"/>
      <c r="AB43" s="166"/>
      <c r="AC43" s="6"/>
      <c r="AD43" s="95"/>
      <c r="AE43" s="99"/>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row>
    <row r="44" spans="1:252" s="96" customFormat="1" ht="20.25" customHeight="1">
      <c r="A44" s="32" t="str">
        <f t="shared" si="0"/>
        <v>Donnerstag</v>
      </c>
      <c r="B44" s="37">
        <f t="shared" si="2"/>
        <v>42789</v>
      </c>
      <c r="C44" s="185" t="str">
        <f>IF(OR(A44="Samstag",A44="Sonntag"),"",IF(COUNTIF(Übersicht!C$16:C$30,B44)&gt;0,"BA",""))</f>
        <v/>
      </c>
      <c r="D44" s="38"/>
      <c r="E44" s="172">
        <f t="shared" si="4"/>
        <v>0</v>
      </c>
      <c r="F44" s="176"/>
      <c r="G44" s="177"/>
      <c r="H44" s="178"/>
      <c r="I44" s="38">
        <f t="shared" si="1"/>
        <v>0</v>
      </c>
      <c r="J44" s="35">
        <f t="shared" si="3"/>
        <v>0</v>
      </c>
      <c r="K44" s="36">
        <f t="shared" si="5"/>
        <v>0</v>
      </c>
      <c r="L44" s="251"/>
      <c r="M44" s="252"/>
      <c r="N44" s="252"/>
      <c r="O44" s="252"/>
      <c r="P44" s="253"/>
      <c r="Q44" s="89"/>
      <c r="R44" s="212"/>
      <c r="S44" s="76"/>
      <c r="T44" s="76"/>
      <c r="U44" s="76"/>
      <c r="V44" s="76"/>
      <c r="W44" s="76"/>
      <c r="X44" s="76"/>
      <c r="Y44" s="76"/>
      <c r="Z44" s="76"/>
      <c r="AA44" s="68"/>
      <c r="AB44" s="166"/>
      <c r="AC44" s="6"/>
      <c r="AD44" s="95"/>
      <c r="AE44" s="99"/>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row>
    <row r="45" spans="1:252" s="96" customFormat="1" ht="20.25" customHeight="1">
      <c r="A45" s="32" t="str">
        <f t="shared" si="0"/>
        <v>Freitag</v>
      </c>
      <c r="B45" s="37">
        <f t="shared" si="2"/>
        <v>42790</v>
      </c>
      <c r="C45" s="185" t="str">
        <f>IF(OR(A45="Samstag",A45="Sonntag"),"",IF(COUNTIF(Übersicht!C$16:C$30,B45)&gt;0,"BA",""))</f>
        <v/>
      </c>
      <c r="D45" s="38"/>
      <c r="E45" s="172">
        <f t="shared" si="4"/>
        <v>0</v>
      </c>
      <c r="F45" s="176"/>
      <c r="G45" s="177"/>
      <c r="H45" s="178"/>
      <c r="I45" s="38">
        <f t="shared" si="1"/>
        <v>0</v>
      </c>
      <c r="J45" s="35">
        <f t="shared" si="3"/>
        <v>0</v>
      </c>
      <c r="K45" s="36">
        <f t="shared" si="5"/>
        <v>0</v>
      </c>
      <c r="L45" s="251"/>
      <c r="M45" s="252"/>
      <c r="N45" s="252"/>
      <c r="O45" s="252"/>
      <c r="P45" s="253"/>
      <c r="Q45" s="89"/>
      <c r="R45" s="212"/>
      <c r="S45" s="76"/>
      <c r="T45" s="76"/>
      <c r="U45" s="76"/>
      <c r="V45" s="76"/>
      <c r="W45" s="76"/>
      <c r="X45" s="76"/>
      <c r="Y45" s="76"/>
      <c r="Z45" s="76"/>
      <c r="AA45" s="68"/>
      <c r="AB45" s="166"/>
      <c r="AC45" s="6"/>
      <c r="AD45" s="95"/>
      <c r="AE45" s="99"/>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row>
    <row r="46" spans="1:252" s="96" customFormat="1" ht="20.25" customHeight="1">
      <c r="A46" s="32" t="str">
        <f t="shared" si="0"/>
        <v>Samstag</v>
      </c>
      <c r="B46" s="37">
        <f t="shared" si="2"/>
        <v>42791</v>
      </c>
      <c r="C46" s="185" t="str">
        <f>IF(OR(A46="Samstag",A46="Sonntag"),"",IF(COUNTIF(Übersicht!C$16:C$30,B46)&gt;0,"BA",""))</f>
        <v/>
      </c>
      <c r="D46" s="38"/>
      <c r="E46" s="172" t="str">
        <f t="shared" si="4"/>
        <v/>
      </c>
      <c r="F46" s="176"/>
      <c r="G46" s="177"/>
      <c r="H46" s="178"/>
      <c r="I46" s="38">
        <f t="shared" si="1"/>
        <v>0</v>
      </c>
      <c r="J46" s="35">
        <f t="shared" si="3"/>
        <v>0</v>
      </c>
      <c r="K46" s="36">
        <f t="shared" si="5"/>
        <v>0</v>
      </c>
      <c r="L46" s="251"/>
      <c r="M46" s="252"/>
      <c r="N46" s="252"/>
      <c r="O46" s="252"/>
      <c r="P46" s="253"/>
      <c r="Q46" s="89"/>
      <c r="R46" s="212"/>
      <c r="S46" s="76"/>
      <c r="T46" s="76"/>
      <c r="U46" s="76"/>
      <c r="V46" s="76"/>
      <c r="W46" s="76"/>
      <c r="X46" s="76"/>
      <c r="Y46" s="76"/>
      <c r="Z46" s="76"/>
      <c r="AA46" s="68"/>
      <c r="AB46" s="166"/>
      <c r="AC46" s="6"/>
      <c r="AD46" s="95"/>
      <c r="AE46" s="99"/>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row>
    <row r="47" spans="1:252" s="96" customFormat="1" ht="20.25" customHeight="1">
      <c r="A47" s="32" t="str">
        <f t="shared" si="0"/>
        <v>Sonntag</v>
      </c>
      <c r="B47" s="37">
        <f t="shared" si="2"/>
        <v>42792</v>
      </c>
      <c r="C47" s="185" t="str">
        <f>IF(OR(A47="Samstag",A47="Sonntag"),"",IF(COUNTIF(Übersicht!C$16:C$30,B47)&gt;0,"BA",""))</f>
        <v/>
      </c>
      <c r="D47" s="38"/>
      <c r="E47" s="172" t="str">
        <f t="shared" si="4"/>
        <v/>
      </c>
      <c r="F47" s="176"/>
      <c r="G47" s="177"/>
      <c r="H47" s="178"/>
      <c r="I47" s="38">
        <f t="shared" si="1"/>
        <v>0</v>
      </c>
      <c r="J47" s="35">
        <f t="shared" si="3"/>
        <v>0</v>
      </c>
      <c r="K47" s="36">
        <f t="shared" si="5"/>
        <v>0</v>
      </c>
      <c r="L47" s="251"/>
      <c r="M47" s="252"/>
      <c r="N47" s="252"/>
      <c r="O47" s="252"/>
      <c r="P47" s="253"/>
      <c r="Q47" s="89"/>
      <c r="R47" s="212"/>
      <c r="S47" s="76"/>
      <c r="T47" s="76"/>
      <c r="U47" s="76"/>
      <c r="V47" s="76"/>
      <c r="W47" s="76"/>
      <c r="X47" s="76"/>
      <c r="Y47" s="76"/>
      <c r="Z47" s="76"/>
      <c r="AA47" s="68"/>
      <c r="AB47" s="166"/>
      <c r="AC47" s="6"/>
      <c r="AD47" s="95"/>
      <c r="AE47" s="99"/>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row>
    <row r="48" spans="1:252" s="96" customFormat="1" ht="20.25" customHeight="1">
      <c r="A48" s="32" t="str">
        <f t="shared" si="0"/>
        <v>Montag</v>
      </c>
      <c r="B48" s="37">
        <f t="shared" si="2"/>
        <v>42793</v>
      </c>
      <c r="C48" s="185" t="str">
        <f>IF(OR(A48="Samstag",A48="Sonntag"),"",IF(COUNTIF(Übersicht!C$16:C$30,B48)&gt;0,"BA",""))</f>
        <v/>
      </c>
      <c r="D48" s="38"/>
      <c r="E48" s="172">
        <f t="shared" si="4"/>
        <v>0</v>
      </c>
      <c r="F48" s="176"/>
      <c r="G48" s="177"/>
      <c r="H48" s="178"/>
      <c r="I48" s="38">
        <f t="shared" si="1"/>
        <v>0</v>
      </c>
      <c r="J48" s="35">
        <f t="shared" si="3"/>
        <v>0</v>
      </c>
      <c r="K48" s="36">
        <f t="shared" si="5"/>
        <v>0</v>
      </c>
      <c r="L48" s="251"/>
      <c r="M48" s="252"/>
      <c r="N48" s="252"/>
      <c r="O48" s="252"/>
      <c r="P48" s="253"/>
      <c r="Q48" s="89"/>
      <c r="R48" s="212"/>
      <c r="S48" s="76"/>
      <c r="T48" s="76"/>
      <c r="U48" s="76"/>
      <c r="V48" s="76"/>
      <c r="W48" s="76"/>
      <c r="X48" s="76"/>
      <c r="Y48" s="76"/>
      <c r="Z48" s="76"/>
      <c r="AA48" s="68"/>
      <c r="AB48" s="166"/>
      <c r="AC48" s="6"/>
      <c r="AD48" s="95"/>
      <c r="AE48" s="99"/>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row>
    <row r="49" spans="1:252" s="96" customFormat="1" ht="20.25" customHeight="1">
      <c r="A49" s="32" t="str">
        <f t="shared" si="0"/>
        <v>Dienstag</v>
      </c>
      <c r="B49" s="37">
        <f>($A$21+ROW(B28)-1)*(MONTH(B48+1)=MONTH($A$21))</f>
        <v>42794</v>
      </c>
      <c r="C49" s="185" t="str">
        <f>IF(OR(A49="Samstag",A49="Sonntag"),"",IF(COUNTIF(Übersicht!C$16:C$30,B49)&gt;0,"BA",""))</f>
        <v/>
      </c>
      <c r="D49" s="38"/>
      <c r="E49" s="172">
        <f t="shared" si="4"/>
        <v>0</v>
      </c>
      <c r="F49" s="176"/>
      <c r="G49" s="177"/>
      <c r="H49" s="178"/>
      <c r="I49" s="38">
        <f t="shared" si="1"/>
        <v>0</v>
      </c>
      <c r="J49" s="35">
        <f t="shared" si="3"/>
        <v>0</v>
      </c>
      <c r="K49" s="36">
        <f t="shared" si="5"/>
        <v>0</v>
      </c>
      <c r="L49" s="251"/>
      <c r="M49" s="252"/>
      <c r="N49" s="252"/>
      <c r="O49" s="252"/>
      <c r="P49" s="253"/>
      <c r="Q49" s="89"/>
      <c r="R49" s="212"/>
      <c r="S49" s="76"/>
      <c r="T49" s="76"/>
      <c r="U49" s="76"/>
      <c r="V49" s="76"/>
      <c r="W49" s="76"/>
      <c r="X49" s="76"/>
      <c r="Y49" s="76"/>
      <c r="Z49" s="76"/>
      <c r="AA49" s="68"/>
      <c r="AB49" s="166"/>
      <c r="AC49" s="6"/>
      <c r="AD49" s="95"/>
      <c r="AE49" s="99"/>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row>
    <row r="50" spans="1:252" s="96" customFormat="1" ht="20.25" customHeight="1">
      <c r="A50" s="32" t="str">
        <f t="shared" si="0"/>
        <v>Samstag</v>
      </c>
      <c r="B50" s="37">
        <f>($A$21+ROW(B29)-1)*(MONTH(B49+1)=MONTH($A$21))</f>
        <v>0</v>
      </c>
      <c r="C50" s="185" t="str">
        <f>IF(OR(A50="Samstag",A50="Sonntag"),"",IF(COUNTIF(Übersicht!C$16:C$30,B50)&gt;0,"BA",""))</f>
        <v/>
      </c>
      <c r="D50" s="38"/>
      <c r="E50" s="172" t="str">
        <f t="shared" si="4"/>
        <v/>
      </c>
      <c r="F50" s="176"/>
      <c r="G50" s="177"/>
      <c r="H50" s="178"/>
      <c r="I50" s="38">
        <f t="shared" si="1"/>
        <v>0</v>
      </c>
      <c r="J50" s="35">
        <f t="shared" si="3"/>
        <v>0</v>
      </c>
      <c r="K50" s="36">
        <f t="shared" si="5"/>
        <v>0</v>
      </c>
      <c r="L50" s="251"/>
      <c r="M50" s="252"/>
      <c r="N50" s="252"/>
      <c r="O50" s="252"/>
      <c r="P50" s="253"/>
      <c r="Q50" s="89"/>
      <c r="R50" s="212"/>
      <c r="S50" s="76"/>
      <c r="T50" s="76"/>
      <c r="U50" s="76"/>
      <c r="V50" s="76"/>
      <c r="W50" s="76"/>
      <c r="X50" s="76"/>
      <c r="Y50" s="76"/>
      <c r="Z50" s="76"/>
      <c r="AA50" s="68"/>
      <c r="AB50" s="166"/>
      <c r="AC50" s="6"/>
      <c r="AD50" s="95"/>
      <c r="AE50" s="99"/>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row>
    <row r="51" spans="1:252" s="96" customFormat="1" ht="20.25" customHeight="1">
      <c r="A51" s="32" t="str">
        <f t="shared" si="0"/>
        <v>Samstag</v>
      </c>
      <c r="B51" s="37">
        <f t="shared" si="2"/>
        <v>0</v>
      </c>
      <c r="C51" s="185" t="str">
        <f>IF(OR(A51="Samstag",A51="Sonntag"),"",IF(COUNTIF(Übersicht!C$16:C$30,B51)&gt;0,"BA",""))</f>
        <v/>
      </c>
      <c r="D51" s="38"/>
      <c r="E51" s="172" t="str">
        <f t="shared" si="4"/>
        <v/>
      </c>
      <c r="F51" s="176"/>
      <c r="G51" s="177"/>
      <c r="H51" s="178"/>
      <c r="I51" s="38">
        <f t="shared" si="1"/>
        <v>0</v>
      </c>
      <c r="J51" s="35">
        <f t="shared" si="3"/>
        <v>0</v>
      </c>
      <c r="K51" s="36">
        <f t="shared" si="5"/>
        <v>0</v>
      </c>
      <c r="L51" s="251"/>
      <c r="M51" s="252"/>
      <c r="N51" s="252"/>
      <c r="O51" s="252"/>
      <c r="P51" s="253"/>
      <c r="Q51" s="89"/>
      <c r="R51" s="212"/>
      <c r="S51" s="76"/>
      <c r="T51" s="76"/>
      <c r="U51" s="76"/>
      <c r="V51" s="76"/>
      <c r="W51" s="76"/>
      <c r="X51" s="76"/>
      <c r="Y51" s="76"/>
      <c r="Z51" s="76"/>
      <c r="AA51" s="68"/>
      <c r="AB51" s="166"/>
      <c r="AC51" s="6"/>
      <c r="AD51" s="95"/>
      <c r="AE51" s="99"/>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row>
    <row r="52" spans="1:252" s="96" customFormat="1" ht="20.25" customHeight="1" thickBot="1">
      <c r="A52" s="32" t="str">
        <f t="shared" si="0"/>
        <v>Samstag</v>
      </c>
      <c r="B52" s="37">
        <f t="shared" si="2"/>
        <v>0</v>
      </c>
      <c r="C52" s="185" t="str">
        <f>IF(OR(A52="Samstag",A52="Sonntag"),"",IF(COUNTIF(Übersicht!C$16:C$30,B52)&gt;0,"BA",""))</f>
        <v/>
      </c>
      <c r="D52" s="39"/>
      <c r="E52" s="172" t="str">
        <f t="shared" si="4"/>
        <v/>
      </c>
      <c r="F52" s="198"/>
      <c r="G52" s="199"/>
      <c r="H52" s="200"/>
      <c r="I52" s="38">
        <f t="shared" si="1"/>
        <v>0</v>
      </c>
      <c r="J52" s="35">
        <f t="shared" si="3"/>
        <v>0</v>
      </c>
      <c r="K52" s="40">
        <f t="shared" si="5"/>
        <v>0</v>
      </c>
      <c r="L52" s="282"/>
      <c r="M52" s="283"/>
      <c r="N52" s="283"/>
      <c r="O52" s="283"/>
      <c r="P52" s="284"/>
      <c r="Q52" s="89"/>
      <c r="R52" s="212"/>
      <c r="S52" s="77"/>
      <c r="T52" s="77"/>
      <c r="U52" s="77"/>
      <c r="V52" s="77"/>
      <c r="W52" s="77"/>
      <c r="X52" s="77"/>
      <c r="Y52" s="77"/>
      <c r="Z52" s="78"/>
      <c r="AA52" s="68"/>
      <c r="AB52" s="166"/>
      <c r="AC52" s="6"/>
      <c r="AD52" s="95"/>
      <c r="AE52" s="99"/>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row>
    <row r="53" spans="1:252" s="96" customFormat="1" ht="18.75" customHeight="1">
      <c r="A53" s="6"/>
      <c r="B53" s="41" t="s">
        <v>26</v>
      </c>
      <c r="C53" s="42"/>
      <c r="D53" s="43"/>
      <c r="E53" s="43" t="s">
        <v>11</v>
      </c>
      <c r="F53" s="44"/>
      <c r="G53" s="44"/>
      <c r="H53" s="44"/>
      <c r="I53" s="43" t="s">
        <v>20</v>
      </c>
      <c r="J53" s="43" t="s">
        <v>28</v>
      </c>
      <c r="K53" s="43" t="s">
        <v>27</v>
      </c>
      <c r="L53" s="45"/>
      <c r="M53" s="45"/>
      <c r="N53" s="45"/>
      <c r="O53" s="45"/>
      <c r="P53" s="46"/>
      <c r="Q53" s="160"/>
      <c r="R53" s="160"/>
      <c r="S53" s="76"/>
      <c r="T53" s="183"/>
      <c r="U53" s="79"/>
      <c r="V53" s="6"/>
      <c r="W53" s="78"/>
      <c r="X53" s="76"/>
      <c r="Y53" s="80"/>
      <c r="Z53" s="80"/>
      <c r="AA53" s="68"/>
      <c r="AB53" s="68"/>
      <c r="AC53" s="6"/>
      <c r="AD53" s="95"/>
      <c r="AE53" s="99"/>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row>
    <row r="54" spans="1:252" s="96" customFormat="1" ht="18.75" customHeight="1">
      <c r="A54" s="6"/>
      <c r="B54" s="47"/>
      <c r="C54" s="48"/>
      <c r="D54" s="49"/>
      <c r="E54" s="50">
        <f>SUM(E22:E52)</f>
        <v>0</v>
      </c>
      <c r="F54" s="51"/>
      <c r="G54" s="52"/>
      <c r="H54" s="49"/>
      <c r="I54" s="50">
        <f>SUM(I22:I52)</f>
        <v>0</v>
      </c>
      <c r="J54" s="50">
        <f>SUM(J22:J52)</f>
        <v>0</v>
      </c>
      <c r="K54" s="50">
        <f>K52</f>
        <v>0</v>
      </c>
      <c r="L54" s="91"/>
      <c r="M54" s="91"/>
      <c r="N54" s="91"/>
      <c r="O54" s="91"/>
      <c r="P54" s="53"/>
      <c r="Q54" s="161"/>
      <c r="R54" s="161"/>
      <c r="S54" s="81"/>
      <c r="T54" s="82"/>
      <c r="U54" s="82"/>
      <c r="V54" s="6"/>
      <c r="W54" s="81"/>
      <c r="X54" s="81"/>
      <c r="Y54" s="6"/>
      <c r="Z54" s="6"/>
      <c r="AA54" s="68"/>
      <c r="AB54" s="68"/>
      <c r="AC54" s="6"/>
      <c r="AD54" s="95"/>
      <c r="AE54" s="99"/>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row>
    <row r="55" spans="1:252" s="96" customFormat="1" ht="15">
      <c r="A55" s="6"/>
      <c r="B55" s="54"/>
      <c r="C55" s="54"/>
      <c r="D55" s="54"/>
      <c r="E55" s="54"/>
      <c r="F55" s="55"/>
      <c r="G55" s="56"/>
      <c r="H55" s="100"/>
      <c r="I55" s="6"/>
      <c r="J55" s="101"/>
      <c r="K55" s="257" t="str">
        <f>IF($E$54*1.5&lt;IF($M$7&lt;0,$I$54+$M$7,$I$54),"Überschreitung der zulässigen Monatsarbeitszeit um &gt;50%","")</f>
        <v/>
      </c>
      <c r="L55" s="257"/>
      <c r="M55" s="257"/>
      <c r="N55" s="257"/>
      <c r="O55" s="257"/>
      <c r="P55" s="60"/>
      <c r="Q55" s="162"/>
      <c r="R55" s="162"/>
      <c r="S55" s="83"/>
      <c r="T55" s="83"/>
      <c r="U55" s="83"/>
      <c r="V55" s="6"/>
      <c r="W55" s="6"/>
      <c r="X55" s="76"/>
      <c r="Y55" s="6"/>
      <c r="Z55" s="6"/>
      <c r="AA55" s="68"/>
      <c r="AB55" s="68"/>
      <c r="AC55" s="6"/>
      <c r="AD55" s="95"/>
      <c r="AE55" s="99"/>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row>
    <row r="56" spans="1:252" s="96" customFormat="1" ht="15">
      <c r="A56" s="6"/>
      <c r="B56" s="54"/>
      <c r="C56" s="54"/>
      <c r="D56" s="54"/>
      <c r="E56" s="54"/>
      <c r="F56" s="55"/>
      <c r="G56" s="56"/>
      <c r="H56" s="102"/>
      <c r="I56" s="101"/>
      <c r="J56" s="101"/>
      <c r="K56" s="58"/>
      <c r="L56" s="59"/>
      <c r="M56" s="59"/>
      <c r="N56" s="59"/>
      <c r="O56" s="59"/>
      <c r="P56" s="60"/>
      <c r="Q56" s="162"/>
      <c r="R56" s="162"/>
      <c r="S56" s="83"/>
      <c r="T56" s="83"/>
      <c r="U56" s="83"/>
      <c r="V56" s="6"/>
      <c r="W56" s="6"/>
      <c r="X56" s="81"/>
      <c r="Y56" s="6"/>
      <c r="Z56" s="6"/>
      <c r="AA56" s="68"/>
      <c r="AB56" s="68"/>
      <c r="AC56" s="6"/>
      <c r="AD56" s="95"/>
      <c r="AE56" s="99"/>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row>
    <row r="57" spans="1:252" s="96" customFormat="1" ht="15">
      <c r="A57" s="6"/>
      <c r="B57" s="61"/>
      <c r="C57" s="61"/>
      <c r="D57" s="61"/>
      <c r="E57" s="61"/>
      <c r="F57" s="61"/>
      <c r="G57" s="61"/>
      <c r="H57" s="62"/>
      <c r="I57" s="6"/>
      <c r="J57" s="6"/>
      <c r="K57" s="6" t="s">
        <v>75</v>
      </c>
      <c r="L57" s="6"/>
      <c r="M57" s="6"/>
      <c r="N57" s="6"/>
      <c r="O57" s="57"/>
      <c r="P57" s="24"/>
      <c r="Q57" s="156"/>
      <c r="R57" s="156"/>
      <c r="S57" s="6"/>
      <c r="T57" s="6"/>
      <c r="U57" s="6"/>
      <c r="V57" s="6"/>
      <c r="W57" s="6"/>
      <c r="X57" s="6"/>
      <c r="Y57" s="6"/>
      <c r="Z57" s="6"/>
      <c r="AA57" s="68"/>
      <c r="AB57" s="68"/>
      <c r="AC57" s="6"/>
      <c r="AD57" s="95"/>
      <c r="AE57" s="99"/>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row>
    <row r="58" spans="1:252" s="96" customFormat="1" ht="15">
      <c r="A58" s="6"/>
      <c r="B58" s="62"/>
      <c r="C58" s="62"/>
      <c r="D58" s="62"/>
      <c r="E58" s="62"/>
      <c r="F58" s="62"/>
      <c r="G58" s="62"/>
      <c r="H58" s="32"/>
      <c r="I58" s="103"/>
      <c r="J58" s="68"/>
      <c r="K58" s="6" t="s">
        <v>76</v>
      </c>
      <c r="L58" s="206"/>
      <c r="M58" s="207"/>
      <c r="N58" s="207"/>
      <c r="O58" s="201"/>
      <c r="P58" s="63"/>
      <c r="Q58" s="163"/>
      <c r="R58" s="163"/>
      <c r="S58" s="84"/>
      <c r="T58" s="84"/>
      <c r="U58" s="84"/>
      <c r="V58" s="6"/>
      <c r="W58" s="6"/>
      <c r="X58" s="6"/>
      <c r="Y58" s="6"/>
      <c r="Z58" s="6"/>
      <c r="AA58" s="68"/>
      <c r="AB58" s="68"/>
      <c r="AC58" s="6"/>
      <c r="AD58" s="95"/>
      <c r="AE58" s="99"/>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row>
    <row r="59" spans="1:252" s="96" customFormat="1" ht="15">
      <c r="A59" s="6"/>
      <c r="B59" s="64"/>
      <c r="C59" s="64"/>
      <c r="D59" s="64"/>
      <c r="E59" s="64"/>
      <c r="F59" s="64"/>
      <c r="G59" s="62"/>
      <c r="H59" s="208"/>
      <c r="I59" s="208"/>
      <c r="J59" s="208"/>
      <c r="K59" s="65"/>
      <c r="L59" s="65"/>
      <c r="M59" s="65"/>
      <c r="N59" s="65"/>
      <c r="O59" s="65"/>
      <c r="P59" s="66"/>
      <c r="Q59" s="156"/>
      <c r="R59" s="156"/>
      <c r="S59" s="6"/>
      <c r="T59" s="6"/>
      <c r="U59" s="6"/>
      <c r="V59" s="6"/>
      <c r="W59" s="6"/>
      <c r="X59" s="6"/>
      <c r="Y59" s="6"/>
      <c r="Z59" s="6"/>
      <c r="AA59" s="68"/>
      <c r="AB59" s="68"/>
      <c r="AC59" s="6"/>
      <c r="AD59" s="95"/>
      <c r="AE59" s="99"/>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row>
    <row r="60" spans="1:252" s="96" customFormat="1" ht="15">
      <c r="A60" s="6"/>
      <c r="B60" s="67" t="s">
        <v>4</v>
      </c>
      <c r="C60" s="280" t="s">
        <v>5</v>
      </c>
      <c r="D60" s="280"/>
      <c r="E60" s="280"/>
      <c r="F60" s="280"/>
      <c r="G60" s="281"/>
      <c r="H60" s="32"/>
      <c r="I60" s="104"/>
      <c r="J60" s="6"/>
      <c r="K60" s="67" t="s">
        <v>4</v>
      </c>
      <c r="L60" s="281" t="s">
        <v>66</v>
      </c>
      <c r="M60" s="281"/>
      <c r="N60" s="281"/>
      <c r="O60" s="281"/>
      <c r="P60" s="281"/>
      <c r="Q60" s="24"/>
      <c r="R60" s="6"/>
      <c r="S60" s="6"/>
      <c r="T60" s="6"/>
      <c r="U60" s="6"/>
      <c r="V60" s="6"/>
      <c r="W60" s="6"/>
      <c r="X60" s="6"/>
      <c r="Y60" s="6"/>
      <c r="Z60" s="6"/>
      <c r="AA60" s="68"/>
      <c r="AB60" s="68"/>
      <c r="AC60" s="6"/>
      <c r="AD60" s="95"/>
      <c r="AE60" s="99"/>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row>
    <row r="61" spans="1:252" s="96" customFormat="1" ht="15">
      <c r="A61" s="6"/>
      <c r="B61" s="67"/>
      <c r="C61" s="205"/>
      <c r="D61" s="205"/>
      <c r="E61" s="205"/>
      <c r="F61" s="205"/>
      <c r="G61" s="205"/>
      <c r="H61" s="32"/>
      <c r="I61" s="104"/>
      <c r="J61" s="6"/>
      <c r="K61" s="67"/>
      <c r="L61" s="205"/>
      <c r="M61" s="205"/>
      <c r="N61" s="205"/>
      <c r="O61" s="205"/>
      <c r="P61" s="205"/>
      <c r="Q61" s="24"/>
      <c r="R61" s="6"/>
      <c r="S61" s="6"/>
      <c r="T61" s="6"/>
      <c r="U61" s="6"/>
      <c r="V61" s="6"/>
      <c r="W61" s="6"/>
      <c r="X61" s="6"/>
      <c r="Y61" s="6"/>
      <c r="Z61" s="6"/>
      <c r="AA61" s="68"/>
      <c r="AB61" s="68"/>
      <c r="AC61" s="6"/>
      <c r="AD61" s="95"/>
      <c r="AE61" s="99"/>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row>
    <row r="62" spans="1:252" s="96" customFormat="1" ht="15">
      <c r="A62" s="6"/>
      <c r="B62" s="57"/>
      <c r="C62" s="57"/>
      <c r="D62" s="57"/>
      <c r="E62" s="57"/>
      <c r="F62" s="57"/>
      <c r="G62" s="57"/>
      <c r="H62" s="105" t="s">
        <v>46</v>
      </c>
      <c r="I62" s="32"/>
      <c r="J62" s="106">
        <v>42114</v>
      </c>
      <c r="K62" s="57"/>
      <c r="L62" s="57"/>
      <c r="M62" s="57"/>
      <c r="N62" s="57"/>
      <c r="O62" s="57"/>
      <c r="P62" s="24"/>
      <c r="Q62" s="24"/>
      <c r="R62" s="6"/>
      <c r="S62" s="6"/>
      <c r="T62" s="6"/>
      <c r="U62" s="6"/>
      <c r="V62" s="68"/>
      <c r="W62" s="6"/>
      <c r="X62" s="6"/>
      <c r="Y62" s="6"/>
      <c r="Z62" s="6"/>
      <c r="AA62" s="68"/>
      <c r="AB62" s="68"/>
      <c r="AC62" s="6"/>
      <c r="AD62" s="95"/>
      <c r="AE62" s="99"/>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row>
    <row r="63" spans="1:252" s="96" customFormat="1" ht="15" hidden="1">
      <c r="A63" s="6"/>
      <c r="B63" s="57"/>
      <c r="C63" s="57"/>
      <c r="D63" s="57"/>
      <c r="E63" s="57"/>
      <c r="F63" s="57"/>
      <c r="G63" s="57"/>
      <c r="H63" s="57"/>
      <c r="I63" s="57"/>
      <c r="J63" s="57"/>
      <c r="K63" s="57"/>
      <c r="L63" s="57"/>
      <c r="M63" s="57"/>
      <c r="N63" s="57"/>
      <c r="O63" s="57"/>
      <c r="P63" s="24"/>
      <c r="Q63" s="24"/>
      <c r="R63" s="6"/>
      <c r="S63" s="6"/>
      <c r="T63" s="6"/>
      <c r="U63" s="6"/>
      <c r="V63" s="6"/>
      <c r="W63" s="6"/>
      <c r="X63" s="6"/>
      <c r="Y63" s="6"/>
      <c r="Z63" s="6"/>
      <c r="AA63" s="68"/>
      <c r="AB63" s="68"/>
      <c r="AC63" s="6"/>
      <c r="AD63" s="95"/>
      <c r="AE63" s="99"/>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row>
    <row r="64" spans="1:252" s="96" customFormat="1" ht="15" hidden="1">
      <c r="A64" s="6"/>
      <c r="B64" s="57"/>
      <c r="C64" s="57"/>
      <c r="D64" s="57"/>
      <c r="E64" s="57"/>
      <c r="F64" s="57"/>
      <c r="G64" s="57"/>
      <c r="H64" s="57"/>
      <c r="I64" s="57"/>
      <c r="J64" s="57"/>
      <c r="K64" s="57"/>
      <c r="L64" s="57"/>
      <c r="M64" s="57"/>
      <c r="N64" s="57"/>
      <c r="O64" s="57"/>
      <c r="P64" s="24"/>
      <c r="Q64" s="24"/>
      <c r="R64" s="6"/>
      <c r="S64" s="6"/>
      <c r="T64" s="6"/>
      <c r="U64" s="6"/>
      <c r="V64" s="6"/>
      <c r="W64" s="6"/>
      <c r="X64" s="6"/>
      <c r="Y64" s="6"/>
      <c r="Z64" s="6"/>
      <c r="AA64" s="68"/>
      <c r="AB64" s="68"/>
      <c r="AC64" s="6"/>
      <c r="AD64" s="95"/>
      <c r="AE64" s="99"/>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row>
    <row r="65" spans="1:252" s="96" customFormat="1" ht="15" hidden="1">
      <c r="A65" s="6"/>
      <c r="B65" s="57"/>
      <c r="C65" s="57"/>
      <c r="D65" s="57"/>
      <c r="E65" s="57"/>
      <c r="F65" s="57"/>
      <c r="G65" s="57"/>
      <c r="H65" s="57"/>
      <c r="I65" s="57"/>
      <c r="J65" s="57"/>
      <c r="K65" s="57"/>
      <c r="L65" s="57"/>
      <c r="M65" s="57"/>
      <c r="N65" s="57"/>
      <c r="O65" s="57"/>
      <c r="P65" s="24"/>
      <c r="Q65" s="24"/>
      <c r="R65" s="6"/>
      <c r="S65" s="6"/>
      <c r="T65" s="6"/>
      <c r="U65" s="6"/>
      <c r="V65" s="6"/>
      <c r="W65" s="6"/>
      <c r="X65" s="6"/>
      <c r="Y65" s="6"/>
      <c r="Z65" s="6"/>
      <c r="AA65" s="68"/>
      <c r="AB65" s="68"/>
      <c r="AC65" s="6"/>
      <c r="AD65" s="95"/>
      <c r="AE65" s="99"/>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row>
    <row r="66" spans="1:252" s="96" customFormat="1" ht="15" hidden="1">
      <c r="A66" s="6"/>
      <c r="B66" s="57"/>
      <c r="C66" s="57"/>
      <c r="D66" s="57"/>
      <c r="E66" s="57"/>
      <c r="F66" s="57"/>
      <c r="G66" s="57"/>
      <c r="H66" s="57"/>
      <c r="I66" s="57"/>
      <c r="J66" s="57"/>
      <c r="K66" s="57"/>
      <c r="L66" s="57"/>
      <c r="M66" s="57"/>
      <c r="N66" s="57"/>
      <c r="O66" s="57"/>
      <c r="P66" s="24"/>
      <c r="Q66" s="24"/>
      <c r="R66" s="6"/>
      <c r="S66" s="6"/>
      <c r="T66" s="6"/>
      <c r="U66" s="6"/>
      <c r="V66" s="6"/>
      <c r="W66" s="6"/>
      <c r="X66" s="6"/>
      <c r="Y66" s="6"/>
      <c r="Z66" s="6"/>
      <c r="AA66" s="68"/>
      <c r="AB66" s="68"/>
      <c r="AC66" s="6"/>
      <c r="AD66" s="95"/>
      <c r="AE66" s="99"/>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row>
    <row r="67" spans="1:252" s="96" customFormat="1" ht="15" hidden="1">
      <c r="A67" s="6"/>
      <c r="B67" s="57"/>
      <c r="C67" s="57"/>
      <c r="D67" s="57"/>
      <c r="E67" s="57"/>
      <c r="F67" s="57"/>
      <c r="G67" s="57"/>
      <c r="H67" s="57"/>
      <c r="I67" s="57"/>
      <c r="J67" s="57"/>
      <c r="K67" s="57"/>
      <c r="L67" s="57"/>
      <c r="M67" s="57"/>
      <c r="N67" s="57"/>
      <c r="O67" s="57"/>
      <c r="P67" s="24"/>
      <c r="Q67" s="24"/>
      <c r="R67" s="6"/>
      <c r="S67" s="6"/>
      <c r="T67" s="6"/>
      <c r="U67" s="6"/>
      <c r="V67" s="6"/>
      <c r="W67" s="6"/>
      <c r="X67" s="6"/>
      <c r="Y67" s="6"/>
      <c r="Z67" s="6"/>
      <c r="AA67" s="68"/>
      <c r="AB67" s="68"/>
      <c r="AC67" s="6"/>
      <c r="AD67" s="95"/>
      <c r="AE67" s="99"/>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row>
    <row r="68" spans="1:252" s="96" customFormat="1" ht="15" hidden="1">
      <c r="A68" s="6"/>
      <c r="B68" s="57"/>
      <c r="C68" s="57"/>
      <c r="D68" s="57"/>
      <c r="E68" s="57"/>
      <c r="F68" s="57"/>
      <c r="G68" s="57"/>
      <c r="H68" s="57"/>
      <c r="I68" s="57"/>
      <c r="J68" s="57"/>
      <c r="K68" s="57"/>
      <c r="L68" s="57"/>
      <c r="M68" s="57"/>
      <c r="N68" s="57"/>
      <c r="O68" s="57"/>
      <c r="P68" s="24"/>
      <c r="Q68" s="24"/>
      <c r="R68" s="6"/>
      <c r="S68" s="6"/>
      <c r="T68" s="6"/>
      <c r="U68" s="6"/>
      <c r="V68" s="6"/>
      <c r="W68" s="6"/>
      <c r="X68" s="6"/>
      <c r="Y68" s="6"/>
      <c r="Z68" s="6"/>
      <c r="AA68" s="68"/>
      <c r="AB68" s="68"/>
      <c r="AC68" s="6"/>
      <c r="AD68" s="95"/>
      <c r="AE68" s="99"/>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row>
    <row r="69" spans="1:252" s="96" customFormat="1" ht="15" hidden="1">
      <c r="A69" s="6"/>
      <c r="B69" s="57"/>
      <c r="C69" s="57"/>
      <c r="D69" s="57"/>
      <c r="E69" s="57"/>
      <c r="F69" s="57"/>
      <c r="G69" s="57"/>
      <c r="H69" s="57"/>
      <c r="I69" s="57"/>
      <c r="J69" s="57"/>
      <c r="K69" s="57"/>
      <c r="L69" s="57"/>
      <c r="M69" s="57"/>
      <c r="N69" s="57"/>
      <c r="O69" s="57"/>
      <c r="P69" s="24"/>
      <c r="Q69" s="24"/>
      <c r="R69" s="6"/>
      <c r="S69" s="6"/>
      <c r="T69" s="6"/>
      <c r="U69" s="6"/>
      <c r="V69" s="6"/>
      <c r="W69" s="6"/>
      <c r="X69" s="6"/>
      <c r="Y69" s="6"/>
      <c r="Z69" s="6"/>
      <c r="AA69" s="68"/>
      <c r="AB69" s="68"/>
      <c r="AC69" s="6"/>
      <c r="AD69" s="95"/>
      <c r="AE69" s="99"/>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row>
    <row r="70" spans="1:252" s="96" customFormat="1" ht="15" hidden="1">
      <c r="A70" s="6"/>
      <c r="B70" s="57"/>
      <c r="C70" s="57"/>
      <c r="D70" s="57"/>
      <c r="E70" s="57"/>
      <c r="F70" s="57"/>
      <c r="G70" s="57"/>
      <c r="H70" s="57"/>
      <c r="I70" s="57"/>
      <c r="J70" s="57"/>
      <c r="K70" s="57"/>
      <c r="L70" s="57"/>
      <c r="M70" s="57"/>
      <c r="N70" s="57"/>
      <c r="O70" s="57"/>
      <c r="P70" s="24"/>
      <c r="Q70" s="24"/>
      <c r="R70" s="6"/>
      <c r="S70" s="6"/>
      <c r="T70" s="6"/>
      <c r="U70" s="6"/>
      <c r="V70" s="6"/>
      <c r="W70" s="6"/>
      <c r="X70" s="6"/>
      <c r="Y70" s="6"/>
      <c r="Z70" s="6"/>
      <c r="AA70" s="68"/>
      <c r="AB70" s="68"/>
      <c r="AC70" s="6"/>
      <c r="AD70" s="95"/>
      <c r="AE70" s="99"/>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row>
    <row r="71" spans="1:252" s="96" customFormat="1" ht="15" hidden="1">
      <c r="A71" s="6"/>
      <c r="B71" s="57"/>
      <c r="C71" s="57"/>
      <c r="D71" s="57"/>
      <c r="E71" s="57"/>
      <c r="F71" s="57"/>
      <c r="G71" s="57"/>
      <c r="H71" s="57"/>
      <c r="I71" s="57"/>
      <c r="J71" s="57"/>
      <c r="K71" s="57"/>
      <c r="L71" s="57"/>
      <c r="M71" s="57"/>
      <c r="N71" s="57"/>
      <c r="O71" s="57"/>
      <c r="P71" s="24"/>
      <c r="Q71" s="24"/>
      <c r="R71" s="6"/>
      <c r="S71" s="6"/>
      <c r="T71" s="6"/>
      <c r="U71" s="6"/>
      <c r="V71" s="6"/>
      <c r="W71" s="6"/>
      <c r="X71" s="6"/>
      <c r="Y71" s="6"/>
      <c r="Z71" s="6"/>
      <c r="AA71" s="68"/>
      <c r="AB71" s="68"/>
      <c r="AC71" s="6"/>
      <c r="AD71" s="95"/>
      <c r="AE71" s="99"/>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row>
    <row r="72" spans="1:252" s="96" customFormat="1" ht="15" hidden="1">
      <c r="A72" s="6"/>
      <c r="B72" s="57"/>
      <c r="C72" s="57"/>
      <c r="D72" s="57"/>
      <c r="E72" s="57"/>
      <c r="F72" s="57"/>
      <c r="G72" s="57"/>
      <c r="H72" s="57"/>
      <c r="I72" s="57"/>
      <c r="J72" s="57"/>
      <c r="K72" s="57"/>
      <c r="L72" s="57"/>
      <c r="M72" s="57"/>
      <c r="N72" s="57"/>
      <c r="O72" s="57"/>
      <c r="P72" s="24"/>
      <c r="Q72" s="24"/>
      <c r="R72" s="6"/>
      <c r="S72" s="6"/>
      <c r="T72" s="6"/>
      <c r="U72" s="6"/>
      <c r="V72" s="6"/>
      <c r="W72" s="6"/>
      <c r="X72" s="6"/>
      <c r="Y72" s="6"/>
      <c r="Z72" s="6"/>
      <c r="AA72" s="68"/>
      <c r="AB72" s="68"/>
      <c r="AC72" s="6"/>
      <c r="AD72" s="95"/>
      <c r="AE72" s="99"/>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row>
    <row r="73" spans="1:252" s="96" customFormat="1" ht="15" hidden="1">
      <c r="A73" s="6"/>
      <c r="B73" s="57"/>
      <c r="C73" s="57"/>
      <c r="D73" s="57"/>
      <c r="E73" s="57"/>
      <c r="F73" s="57"/>
      <c r="G73" s="57"/>
      <c r="H73" s="57"/>
      <c r="I73" s="57"/>
      <c r="J73" s="57"/>
      <c r="K73" s="57"/>
      <c r="L73" s="57"/>
      <c r="M73" s="57"/>
      <c r="N73" s="57"/>
      <c r="O73" s="57"/>
      <c r="P73" s="24"/>
      <c r="Q73" s="24"/>
      <c r="R73" s="6"/>
      <c r="S73" s="6"/>
      <c r="T73" s="6"/>
      <c r="U73" s="6"/>
      <c r="V73" s="6"/>
      <c r="W73" s="6"/>
      <c r="X73" s="6"/>
      <c r="Y73" s="6"/>
      <c r="Z73" s="6"/>
      <c r="AA73" s="68"/>
      <c r="AB73" s="68"/>
      <c r="AC73" s="6"/>
      <c r="AD73" s="95"/>
      <c r="AE73" s="99"/>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c r="HR73" s="3"/>
      <c r="HS73" s="3"/>
      <c r="HT73" s="3"/>
      <c r="HU73" s="3"/>
      <c r="HV73" s="3"/>
      <c r="HW73" s="3"/>
      <c r="HX73" s="3"/>
      <c r="HY73" s="3"/>
      <c r="HZ73" s="3"/>
      <c r="IA73" s="3"/>
      <c r="IB73" s="3"/>
      <c r="IC73" s="3"/>
      <c r="ID73" s="3"/>
      <c r="IE73" s="3"/>
      <c r="IF73" s="3"/>
      <c r="IG73" s="3"/>
      <c r="IH73" s="3"/>
      <c r="II73" s="3"/>
      <c r="IJ73" s="3"/>
      <c r="IK73" s="3"/>
      <c r="IL73" s="3"/>
      <c r="IM73" s="3"/>
      <c r="IN73" s="3"/>
      <c r="IO73" s="3"/>
      <c r="IP73" s="3"/>
      <c r="IQ73" s="3"/>
      <c r="IR73" s="3"/>
    </row>
    <row r="74" spans="1:252" s="96" customFormat="1" ht="15" hidden="1">
      <c r="A74" s="6"/>
      <c r="B74" s="57"/>
      <c r="C74" s="57"/>
      <c r="D74" s="57"/>
      <c r="E74" s="57"/>
      <c r="F74" s="57"/>
      <c r="G74" s="57"/>
      <c r="H74" s="57"/>
      <c r="I74" s="57"/>
      <c r="J74" s="57"/>
      <c r="K74" s="57"/>
      <c r="L74" s="57"/>
      <c r="M74" s="57"/>
      <c r="N74" s="57"/>
      <c r="O74" s="57"/>
      <c r="P74" s="24"/>
      <c r="Q74" s="24"/>
      <c r="R74" s="6"/>
      <c r="S74" s="6"/>
      <c r="T74" s="6"/>
      <c r="U74" s="6"/>
      <c r="V74" s="6"/>
      <c r="W74" s="6"/>
      <c r="X74" s="6"/>
      <c r="Y74" s="6"/>
      <c r="Z74" s="6"/>
      <c r="AA74" s="68"/>
      <c r="AB74" s="68"/>
      <c r="AC74" s="6"/>
      <c r="AD74" s="95"/>
      <c r="AE74" s="99"/>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row>
    <row r="75" spans="1:252" s="96" customFormat="1" ht="15" hidden="1">
      <c r="A75" s="6"/>
      <c r="B75" s="57"/>
      <c r="C75" s="57"/>
      <c r="D75" s="57"/>
      <c r="E75" s="57"/>
      <c r="F75" s="57"/>
      <c r="G75" s="57"/>
      <c r="H75" s="57"/>
      <c r="I75" s="57"/>
      <c r="J75" s="57"/>
      <c r="K75" s="57"/>
      <c r="L75" s="57"/>
      <c r="M75" s="57"/>
      <c r="N75" s="57"/>
      <c r="O75" s="57"/>
      <c r="P75" s="24"/>
      <c r="Q75" s="24"/>
      <c r="R75" s="6"/>
      <c r="S75" s="6"/>
      <c r="T75" s="6"/>
      <c r="U75" s="6"/>
      <c r="V75" s="6"/>
      <c r="W75" s="6"/>
      <c r="X75" s="6"/>
      <c r="Y75" s="6"/>
      <c r="Z75" s="6"/>
      <c r="AA75" s="68"/>
      <c r="AB75" s="68"/>
      <c r="AC75" s="6"/>
      <c r="AD75" s="95"/>
      <c r="AE75" s="99"/>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row>
    <row r="76" spans="1:252" s="96" customFormat="1" ht="15" hidden="1">
      <c r="A76" s="6"/>
      <c r="B76" s="57"/>
      <c r="C76" s="57"/>
      <c r="D76" s="57"/>
      <c r="E76" s="57"/>
      <c r="F76" s="57"/>
      <c r="G76" s="57"/>
      <c r="H76" s="57"/>
      <c r="I76" s="57"/>
      <c r="J76" s="57"/>
      <c r="K76" s="57"/>
      <c r="L76" s="57"/>
      <c r="M76" s="57"/>
      <c r="N76" s="57"/>
      <c r="O76" s="57"/>
      <c r="P76" s="24"/>
      <c r="Q76" s="24"/>
      <c r="R76" s="6"/>
      <c r="S76" s="6"/>
      <c r="T76" s="6"/>
      <c r="U76" s="6"/>
      <c r="V76" s="6"/>
      <c r="W76" s="6"/>
      <c r="X76" s="6"/>
      <c r="Y76" s="6"/>
      <c r="Z76" s="6"/>
      <c r="AA76" s="68"/>
      <c r="AB76" s="68"/>
      <c r="AC76" s="6"/>
      <c r="AD76" s="95"/>
      <c r="AE76" s="99"/>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row>
    <row r="77" spans="1:252" s="96" customFormat="1" ht="15" hidden="1">
      <c r="A77" s="6"/>
      <c r="B77" s="57"/>
      <c r="C77" s="57"/>
      <c r="D77" s="57"/>
      <c r="E77" s="57"/>
      <c r="F77" s="57"/>
      <c r="G77" s="57"/>
      <c r="H77" s="57"/>
      <c r="I77" s="57"/>
      <c r="J77" s="57"/>
      <c r="K77" s="57"/>
      <c r="L77" s="57"/>
      <c r="M77" s="57"/>
      <c r="N77" s="57"/>
      <c r="O77" s="57"/>
      <c r="P77" s="24"/>
      <c r="Q77" s="24"/>
      <c r="R77" s="6"/>
      <c r="S77" s="6"/>
      <c r="T77" s="6"/>
      <c r="U77" s="6"/>
      <c r="V77" s="6"/>
      <c r="W77" s="6"/>
      <c r="X77" s="6"/>
      <c r="Y77" s="6"/>
      <c r="Z77" s="6"/>
      <c r="AA77" s="68"/>
      <c r="AB77" s="68"/>
      <c r="AC77" s="6"/>
      <c r="AD77" s="95"/>
      <c r="AE77" s="99"/>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c r="HF77" s="3"/>
      <c r="HG77" s="3"/>
      <c r="HH77" s="3"/>
      <c r="HI77" s="3"/>
      <c r="HJ77" s="3"/>
      <c r="HK77" s="3"/>
      <c r="HL77" s="3"/>
      <c r="HM77" s="3"/>
      <c r="HN77" s="3"/>
      <c r="HO77" s="3"/>
      <c r="HP77" s="3"/>
      <c r="HQ77" s="3"/>
      <c r="HR77" s="3"/>
      <c r="HS77" s="3"/>
      <c r="HT77" s="3"/>
      <c r="HU77" s="3"/>
      <c r="HV77" s="3"/>
      <c r="HW77" s="3"/>
      <c r="HX77" s="3"/>
      <c r="HY77" s="3"/>
      <c r="HZ77" s="3"/>
      <c r="IA77" s="3"/>
      <c r="IB77" s="3"/>
      <c r="IC77" s="3"/>
      <c r="ID77" s="3"/>
      <c r="IE77" s="3"/>
      <c r="IF77" s="3"/>
      <c r="IG77" s="3"/>
      <c r="IH77" s="3"/>
      <c r="II77" s="3"/>
      <c r="IJ77" s="3"/>
      <c r="IK77" s="3"/>
      <c r="IL77" s="3"/>
      <c r="IM77" s="3"/>
      <c r="IN77" s="3"/>
      <c r="IO77" s="3"/>
      <c r="IP77" s="3"/>
      <c r="IQ77" s="3"/>
      <c r="IR77" s="3"/>
    </row>
    <row r="78" spans="1:252" s="96" customFormat="1" ht="15" hidden="1">
      <c r="A78" s="6"/>
      <c r="B78" s="57"/>
      <c r="C78" s="57"/>
      <c r="D78" s="57"/>
      <c r="E78" s="57"/>
      <c r="F78" s="57"/>
      <c r="G78" s="57"/>
      <c r="H78" s="57"/>
      <c r="I78" s="57"/>
      <c r="J78" s="57"/>
      <c r="K78" s="57"/>
      <c r="L78" s="57"/>
      <c r="M78" s="57"/>
      <c r="N78" s="57"/>
      <c r="O78" s="57"/>
      <c r="P78" s="24"/>
      <c r="Q78" s="24"/>
      <c r="R78" s="6"/>
      <c r="S78" s="6"/>
      <c r="T78" s="6"/>
      <c r="U78" s="6"/>
      <c r="V78" s="6"/>
      <c r="W78" s="6"/>
      <c r="X78" s="6"/>
      <c r="Y78" s="6"/>
      <c r="Z78" s="6"/>
      <c r="AA78" s="68"/>
      <c r="AB78" s="68"/>
      <c r="AC78" s="6"/>
      <c r="AD78" s="95"/>
      <c r="AE78" s="99"/>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c r="HF78" s="3"/>
      <c r="HG78" s="3"/>
      <c r="HH78" s="3"/>
      <c r="HI78" s="3"/>
      <c r="HJ78" s="3"/>
      <c r="HK78" s="3"/>
      <c r="HL78" s="3"/>
      <c r="HM78" s="3"/>
      <c r="HN78" s="3"/>
      <c r="HO78" s="3"/>
      <c r="HP78" s="3"/>
      <c r="HQ78" s="3"/>
      <c r="HR78" s="3"/>
      <c r="HS78" s="3"/>
      <c r="HT78" s="3"/>
      <c r="HU78" s="3"/>
      <c r="HV78" s="3"/>
      <c r="HW78" s="3"/>
      <c r="HX78" s="3"/>
      <c r="HY78" s="3"/>
      <c r="HZ78" s="3"/>
      <c r="IA78" s="3"/>
      <c r="IB78" s="3"/>
      <c r="IC78" s="3"/>
      <c r="ID78" s="3"/>
      <c r="IE78" s="3"/>
      <c r="IF78" s="3"/>
      <c r="IG78" s="3"/>
      <c r="IH78" s="3"/>
      <c r="II78" s="3"/>
      <c r="IJ78" s="3"/>
      <c r="IK78" s="3"/>
      <c r="IL78" s="3"/>
      <c r="IM78" s="3"/>
      <c r="IN78" s="3"/>
      <c r="IO78" s="3"/>
      <c r="IP78" s="3"/>
      <c r="IQ78" s="3"/>
      <c r="IR78" s="3"/>
    </row>
    <row r="79" spans="1:252" s="96" customFormat="1" ht="15" hidden="1">
      <c r="A79" s="6"/>
      <c r="B79" s="57"/>
      <c r="C79" s="57"/>
      <c r="D79" s="57"/>
      <c r="E79" s="57"/>
      <c r="F79" s="57"/>
      <c r="G79" s="57"/>
      <c r="H79" s="57"/>
      <c r="I79" s="57"/>
      <c r="J79" s="57"/>
      <c r="K79" s="57"/>
      <c r="L79" s="57"/>
      <c r="M79" s="57"/>
      <c r="N79" s="57"/>
      <c r="O79" s="57"/>
      <c r="P79" s="24"/>
      <c r="Q79" s="24"/>
      <c r="R79" s="6"/>
      <c r="S79" s="6"/>
      <c r="T79" s="6"/>
      <c r="U79" s="6"/>
      <c r="V79" s="6"/>
      <c r="W79" s="6"/>
      <c r="X79" s="6"/>
      <c r="Y79" s="6"/>
      <c r="Z79" s="6"/>
      <c r="AA79" s="68"/>
      <c r="AB79" s="68"/>
      <c r="AC79" s="6"/>
      <c r="AD79" s="95"/>
      <c r="AE79" s="99"/>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c r="HF79" s="3"/>
      <c r="HG79" s="3"/>
      <c r="HH79" s="3"/>
      <c r="HI79" s="3"/>
      <c r="HJ79" s="3"/>
      <c r="HK79" s="3"/>
      <c r="HL79" s="3"/>
      <c r="HM79" s="3"/>
      <c r="HN79" s="3"/>
      <c r="HO79" s="3"/>
      <c r="HP79" s="3"/>
      <c r="HQ79" s="3"/>
      <c r="HR79" s="3"/>
      <c r="HS79" s="3"/>
      <c r="HT79" s="3"/>
      <c r="HU79" s="3"/>
      <c r="HV79" s="3"/>
      <c r="HW79" s="3"/>
      <c r="HX79" s="3"/>
      <c r="HY79" s="3"/>
      <c r="HZ79" s="3"/>
      <c r="IA79" s="3"/>
      <c r="IB79" s="3"/>
      <c r="IC79" s="3"/>
      <c r="ID79" s="3"/>
      <c r="IE79" s="3"/>
      <c r="IF79" s="3"/>
      <c r="IG79" s="3"/>
      <c r="IH79" s="3"/>
      <c r="II79" s="3"/>
      <c r="IJ79" s="3"/>
      <c r="IK79" s="3"/>
      <c r="IL79" s="3"/>
      <c r="IM79" s="3"/>
      <c r="IN79" s="3"/>
      <c r="IO79" s="3"/>
      <c r="IP79" s="3"/>
      <c r="IQ79" s="3"/>
      <c r="IR79" s="3"/>
    </row>
    <row r="80" spans="1:252" s="96" customFormat="1" ht="15" hidden="1">
      <c r="A80" s="6"/>
      <c r="B80" s="57"/>
      <c r="C80" s="57"/>
      <c r="D80" s="57"/>
      <c r="E80" s="57"/>
      <c r="F80" s="57"/>
      <c r="G80" s="57"/>
      <c r="H80" s="57"/>
      <c r="I80" s="57"/>
      <c r="J80" s="57"/>
      <c r="K80" s="57"/>
      <c r="L80" s="57"/>
      <c r="M80" s="57"/>
      <c r="N80" s="57"/>
      <c r="O80" s="57"/>
      <c r="P80" s="24"/>
      <c r="Q80" s="24"/>
      <c r="R80" s="6"/>
      <c r="S80" s="6"/>
      <c r="T80" s="6"/>
      <c r="U80" s="6"/>
      <c r="V80" s="6"/>
      <c r="W80" s="6"/>
      <c r="X80" s="6"/>
      <c r="Y80" s="6"/>
      <c r="Z80" s="6"/>
      <c r="AA80" s="68"/>
      <c r="AB80" s="68"/>
      <c r="AC80" s="6"/>
      <c r="AD80" s="95"/>
      <c r="AE80" s="99"/>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c r="HF80" s="3"/>
      <c r="HG80" s="3"/>
      <c r="HH80" s="3"/>
      <c r="HI80" s="3"/>
      <c r="HJ80" s="3"/>
      <c r="HK80" s="3"/>
      <c r="HL80" s="3"/>
      <c r="HM80" s="3"/>
      <c r="HN80" s="3"/>
      <c r="HO80" s="3"/>
      <c r="HP80" s="3"/>
      <c r="HQ80" s="3"/>
      <c r="HR80" s="3"/>
      <c r="HS80" s="3"/>
      <c r="HT80" s="3"/>
      <c r="HU80" s="3"/>
      <c r="HV80" s="3"/>
      <c r="HW80" s="3"/>
      <c r="HX80" s="3"/>
      <c r="HY80" s="3"/>
      <c r="HZ80" s="3"/>
      <c r="IA80" s="3"/>
      <c r="IB80" s="3"/>
      <c r="IC80" s="3"/>
      <c r="ID80" s="3"/>
      <c r="IE80" s="3"/>
      <c r="IF80" s="3"/>
      <c r="IG80" s="3"/>
      <c r="IH80" s="3"/>
      <c r="II80" s="3"/>
      <c r="IJ80" s="3"/>
      <c r="IK80" s="3"/>
      <c r="IL80" s="3"/>
      <c r="IM80" s="3"/>
      <c r="IN80" s="3"/>
      <c r="IO80" s="3"/>
      <c r="IP80" s="3"/>
      <c r="IQ80" s="3"/>
      <c r="IR80" s="3"/>
    </row>
  </sheetData>
  <sheetProtection password="EE1F" sheet="1" objects="1" scenarios="1" selectLockedCells="1"/>
  <protectedRanges>
    <protectedRange sqref="M7 F12 I13:M13 F16 E17 I17:M17 F22:H52 L23:P52 C22:C52" name="Eingabebereich"/>
  </protectedRanges>
  <mergeCells count="48">
    <mergeCell ref="L21:P21"/>
    <mergeCell ref="B2:H2"/>
    <mergeCell ref="I2:J2"/>
    <mergeCell ref="K2:L2"/>
    <mergeCell ref="E5:H5"/>
    <mergeCell ref="M5:O5"/>
    <mergeCell ref="E7:H7"/>
    <mergeCell ref="M7:O7"/>
    <mergeCell ref="E17:F17"/>
    <mergeCell ref="C20:E20"/>
    <mergeCell ref="F20:H20"/>
    <mergeCell ref="I20:K20"/>
    <mergeCell ref="L20:P20"/>
    <mergeCell ref="L33:P33"/>
    <mergeCell ref="L22:P22"/>
    <mergeCell ref="L23:P23"/>
    <mergeCell ref="L24:P24"/>
    <mergeCell ref="L25:P25"/>
    <mergeCell ref="L26:P26"/>
    <mergeCell ref="L27:P27"/>
    <mergeCell ref="L28:P28"/>
    <mergeCell ref="L29:P29"/>
    <mergeCell ref="L30:P30"/>
    <mergeCell ref="L31:P31"/>
    <mergeCell ref="L32:P32"/>
    <mergeCell ref="L45:P45"/>
    <mergeCell ref="L34:P34"/>
    <mergeCell ref="L35:P35"/>
    <mergeCell ref="L36:P36"/>
    <mergeCell ref="L37:P37"/>
    <mergeCell ref="L38:P38"/>
    <mergeCell ref="L39:P39"/>
    <mergeCell ref="L52:P52"/>
    <mergeCell ref="K55:O55"/>
    <mergeCell ref="C60:G60"/>
    <mergeCell ref="L60:P60"/>
    <mergeCell ref="E9:O9"/>
    <mergeCell ref="L46:P46"/>
    <mergeCell ref="L47:P47"/>
    <mergeCell ref="L48:P48"/>
    <mergeCell ref="L49:P49"/>
    <mergeCell ref="L50:P50"/>
    <mergeCell ref="L51:P51"/>
    <mergeCell ref="L40:P40"/>
    <mergeCell ref="L41:P41"/>
    <mergeCell ref="L42:P42"/>
    <mergeCell ref="L43:P43"/>
    <mergeCell ref="L44:P44"/>
  </mergeCells>
  <conditionalFormatting sqref="C22:I52 L23:L39 L44:L52">
    <cfRule type="expression" dxfId="2108" priority="243" stopIfTrue="1">
      <formula>OR(($A22="Samstag"),($A22="Sonntag"),($AA22=TRUE()))</formula>
    </cfRule>
  </conditionalFormatting>
  <conditionalFormatting sqref="B22:B52">
    <cfRule type="expression" dxfId="2107" priority="119" stopIfTrue="1">
      <formula>$AA22=TRUE()</formula>
    </cfRule>
    <cfRule type="expression" dxfId="2106" priority="123" stopIfTrue="1">
      <formula>OR(($A22="Samstag"),($A22="Sonntag"))</formula>
    </cfRule>
    <cfRule type="expression" dxfId="2105" priority="124" stopIfTrue="1">
      <formula>AND($E$17&lt;&gt;"",$B22&gt;=$E$17)</formula>
    </cfRule>
  </conditionalFormatting>
  <conditionalFormatting sqref="F32:H32 L23:L39">
    <cfRule type="expression" dxfId="2104" priority="242" stopIfTrue="1">
      <formula>OR(($A23="Samstag"),($A23="Sonntag"))</formula>
    </cfRule>
  </conditionalFormatting>
  <conditionalFormatting sqref="F32:H32">
    <cfRule type="expression" dxfId="2103" priority="241" stopIfTrue="1">
      <formula>OR(($A32="Samstag"),($A32="Sonntag"))</formula>
    </cfRule>
  </conditionalFormatting>
  <conditionalFormatting sqref="F52:H52">
    <cfRule type="expression" dxfId="2102" priority="230" stopIfTrue="1">
      <formula>OR(($A52="Samstag"),($A52="Sonntag"))</formula>
    </cfRule>
  </conditionalFormatting>
  <conditionalFormatting sqref="F52:H52">
    <cfRule type="expression" dxfId="2101" priority="229" stopIfTrue="1">
      <formula>OR(($A52="Samstag"),($A52="Sonntag"))</formula>
    </cfRule>
  </conditionalFormatting>
  <conditionalFormatting sqref="F46:H46">
    <cfRule type="expression" dxfId="2100" priority="233" stopIfTrue="1">
      <formula>OR(($A46="Samstag"),($A46="Sonntag"))</formula>
    </cfRule>
  </conditionalFormatting>
  <conditionalFormatting sqref="F32:H32">
    <cfRule type="expression" dxfId="2099" priority="237" stopIfTrue="1">
      <formula>OR(($A32="Samstag"),($A32="Sonntag"))</formula>
    </cfRule>
  </conditionalFormatting>
  <conditionalFormatting sqref="F24:H25">
    <cfRule type="expression" dxfId="2098" priority="240" stopIfTrue="1">
      <formula>OR(($A24="Samstag"),($A24="Sonntag"))</formula>
    </cfRule>
  </conditionalFormatting>
  <conditionalFormatting sqref="F24:H24">
    <cfRule type="expression" dxfId="2097" priority="239" stopIfTrue="1">
      <formula>OR(($A24="Samstag"),($A24="Sonntag"))</formula>
    </cfRule>
  </conditionalFormatting>
  <conditionalFormatting sqref="F25:H25">
    <cfRule type="expression" dxfId="2096" priority="238" stopIfTrue="1">
      <formula>OR(($A25="Samstag"),($A25="Sonntag"))</formula>
    </cfRule>
  </conditionalFormatting>
  <conditionalFormatting sqref="F39:H39">
    <cfRule type="expression" dxfId="2095" priority="235" stopIfTrue="1">
      <formula>OR(($A39="Samstag"),($A39="Sonntag"))</formula>
    </cfRule>
  </conditionalFormatting>
  <conditionalFormatting sqref="F39:H39">
    <cfRule type="expression" dxfId="2094" priority="236" stopIfTrue="1">
      <formula>OR(($A39="Samstag"),($A39="Sonntag"))</formula>
    </cfRule>
  </conditionalFormatting>
  <conditionalFormatting sqref="F39:H39">
    <cfRule type="expression" dxfId="2093" priority="234" stopIfTrue="1">
      <formula>OR(($A39="Samstag"),($A39="Sonntag"))</formula>
    </cfRule>
  </conditionalFormatting>
  <conditionalFormatting sqref="F46:H46">
    <cfRule type="expression" dxfId="2092" priority="232" stopIfTrue="1">
      <formula>OR(($A46="Samstag"),($A46="Sonntag"))</formula>
    </cfRule>
  </conditionalFormatting>
  <conditionalFormatting sqref="F46:H46">
    <cfRule type="expression" dxfId="2091" priority="231" stopIfTrue="1">
      <formula>OR(($A46="Samstag"),($A46="Sonntag"))</formula>
    </cfRule>
  </conditionalFormatting>
  <conditionalFormatting sqref="F22:H52">
    <cfRule type="expression" dxfId="2090" priority="228" stopIfTrue="1">
      <formula>OR(($A22="Samstag"),($A22="Sonntag"))</formula>
    </cfRule>
  </conditionalFormatting>
  <conditionalFormatting sqref="F22:H52">
    <cfRule type="expression" dxfId="2089" priority="227" stopIfTrue="1">
      <formula>OR(($A22="Samstag"),($A22="Sonntag"))</formula>
    </cfRule>
  </conditionalFormatting>
  <conditionalFormatting sqref="G23">
    <cfRule type="expression" dxfId="2088" priority="226" stopIfTrue="1">
      <formula>OR(($A23="Samstag"),($A23="Sonntag"))</formula>
    </cfRule>
  </conditionalFormatting>
  <conditionalFormatting sqref="G23">
    <cfRule type="expression" dxfId="2087" priority="225" stopIfTrue="1">
      <formula>OR(($A23="Samstag"),($A23="Sonntag"))</formula>
    </cfRule>
  </conditionalFormatting>
  <conditionalFormatting sqref="F31:H31">
    <cfRule type="expression" dxfId="2086" priority="224" stopIfTrue="1">
      <formula>OR(($A31="Samstag"),($A31="Sonntag"))</formula>
    </cfRule>
  </conditionalFormatting>
  <conditionalFormatting sqref="F31:H31">
    <cfRule type="expression" dxfId="2085" priority="223" stopIfTrue="1">
      <formula>OR(($A31="Samstag"),($A31="Sonntag"))</formula>
    </cfRule>
  </conditionalFormatting>
  <conditionalFormatting sqref="F38:H38">
    <cfRule type="expression" dxfId="2084" priority="222" stopIfTrue="1">
      <formula>OR(($A38="Samstag"),($A38="Sonntag"))</formula>
    </cfRule>
  </conditionalFormatting>
  <conditionalFormatting sqref="F38:H38">
    <cfRule type="expression" dxfId="2083" priority="221" stopIfTrue="1">
      <formula>OR(($A38="Samstag"),($A38="Sonntag"))</formula>
    </cfRule>
  </conditionalFormatting>
  <conditionalFormatting sqref="F45:H45">
    <cfRule type="expression" dxfId="2082" priority="220" stopIfTrue="1">
      <formula>OR(($A45="Samstag"),($A45="Sonntag"))</formula>
    </cfRule>
  </conditionalFormatting>
  <conditionalFormatting sqref="F45:H45">
    <cfRule type="expression" dxfId="2081" priority="219" stopIfTrue="1">
      <formula>OR(($A45="Samstag"),($A45="Sonntag"))</formula>
    </cfRule>
  </conditionalFormatting>
  <conditionalFormatting sqref="G26:G30">
    <cfRule type="expression" dxfId="2080" priority="218" stopIfTrue="1">
      <formula>OR(($A26="Samstag"),($A26="Sonntag"))</formula>
    </cfRule>
  </conditionalFormatting>
  <conditionalFormatting sqref="G26:G30">
    <cfRule type="expression" dxfId="2079" priority="217" stopIfTrue="1">
      <formula>OR(($A26="Samstag"),($A26="Sonntag"))</formula>
    </cfRule>
  </conditionalFormatting>
  <conditionalFormatting sqref="G33:G37">
    <cfRule type="expression" dxfId="2078" priority="216" stopIfTrue="1">
      <formula>OR(($A33="Samstag"),($A33="Sonntag"))</formula>
    </cfRule>
  </conditionalFormatting>
  <conditionalFormatting sqref="G33:G37">
    <cfRule type="expression" dxfId="2077" priority="215" stopIfTrue="1">
      <formula>OR(($A33="Samstag"),($A33="Sonntag"))</formula>
    </cfRule>
  </conditionalFormatting>
  <conditionalFormatting sqref="G40:G44">
    <cfRule type="expression" dxfId="2076" priority="214" stopIfTrue="1">
      <formula>OR(($A40="Samstag"),($A40="Sonntag"))</formula>
    </cfRule>
  </conditionalFormatting>
  <conditionalFormatting sqref="G40:G44">
    <cfRule type="expression" dxfId="2075" priority="213" stopIfTrue="1">
      <formula>OR(($A40="Samstag"),($A40="Sonntag"))</formula>
    </cfRule>
  </conditionalFormatting>
  <conditionalFormatting sqref="G47:G51">
    <cfRule type="expression" dxfId="2074" priority="212" stopIfTrue="1">
      <formula>OR(($A47="Samstag"),($A47="Sonntag"))</formula>
    </cfRule>
  </conditionalFormatting>
  <conditionalFormatting sqref="G47:G51">
    <cfRule type="expression" dxfId="2073" priority="211" stopIfTrue="1">
      <formula>OR(($A47="Samstag"),($A47="Sonntag"))</formula>
    </cfRule>
  </conditionalFormatting>
  <conditionalFormatting sqref="F23:H23">
    <cfRule type="expression" dxfId="2072" priority="210" stopIfTrue="1">
      <formula>OR(($A23="Samstag"),($A23="Sonntag"))</formula>
    </cfRule>
  </conditionalFormatting>
  <conditionalFormatting sqref="F23:H23">
    <cfRule type="expression" dxfId="2071" priority="209" stopIfTrue="1">
      <formula>OR(($A23="Samstag"),($A23="Sonntag"))</formula>
    </cfRule>
  </conditionalFormatting>
  <conditionalFormatting sqref="F26:H30">
    <cfRule type="expression" dxfId="2070" priority="208" stopIfTrue="1">
      <formula>OR(($A26="Samstag"),($A26="Sonntag"))</formula>
    </cfRule>
  </conditionalFormatting>
  <conditionalFormatting sqref="F26:H30">
    <cfRule type="expression" dxfId="2069" priority="207" stopIfTrue="1">
      <formula>OR(($A26="Samstag"),($A26="Sonntag"))</formula>
    </cfRule>
  </conditionalFormatting>
  <conditionalFormatting sqref="F33:H37">
    <cfRule type="expression" dxfId="2068" priority="206" stopIfTrue="1">
      <formula>OR(($A33="Samstag"),($A33="Sonntag"))</formula>
    </cfRule>
  </conditionalFormatting>
  <conditionalFormatting sqref="F33:H37">
    <cfRule type="expression" dxfId="2067" priority="205" stopIfTrue="1">
      <formula>OR(($A33="Samstag"),($A33="Sonntag"))</formula>
    </cfRule>
  </conditionalFormatting>
  <conditionalFormatting sqref="F40:H44">
    <cfRule type="expression" dxfId="2066" priority="204" stopIfTrue="1">
      <formula>OR(($A40="Samstag"),($A40="Sonntag"))</formula>
    </cfRule>
  </conditionalFormatting>
  <conditionalFormatting sqref="F40:H44">
    <cfRule type="expression" dxfId="2065" priority="203" stopIfTrue="1">
      <formula>OR(($A40="Samstag"),($A40="Sonntag"))</formula>
    </cfRule>
  </conditionalFormatting>
  <conditionalFormatting sqref="H40:H44">
    <cfRule type="expression" dxfId="2064" priority="194" stopIfTrue="1">
      <formula>OR(($A40="Samstag"),($A40="Sonntag"))</formula>
    </cfRule>
  </conditionalFormatting>
  <conditionalFormatting sqref="H40:H44">
    <cfRule type="expression" dxfId="2063" priority="193" stopIfTrue="1">
      <formula>OR(($A40="Samstag"),($A40="Sonntag"))</formula>
    </cfRule>
  </conditionalFormatting>
  <conditionalFormatting sqref="F47:H51">
    <cfRule type="expression" dxfId="2062" priority="202" stopIfTrue="1">
      <formula>OR(($A47="Samstag"),($A47="Sonntag"))</formula>
    </cfRule>
  </conditionalFormatting>
  <conditionalFormatting sqref="F47:H51">
    <cfRule type="expression" dxfId="2061" priority="201" stopIfTrue="1">
      <formula>OR(($A47="Samstag"),($A47="Sonntag"))</formula>
    </cfRule>
  </conditionalFormatting>
  <conditionalFormatting sqref="H23">
    <cfRule type="expression" dxfId="2060" priority="200" stopIfTrue="1">
      <formula>OR(($A23="Samstag"),($A23="Sonntag"))</formula>
    </cfRule>
  </conditionalFormatting>
  <conditionalFormatting sqref="H23">
    <cfRule type="expression" dxfId="2059" priority="199" stopIfTrue="1">
      <formula>OR(($A23="Samstag"),($A23="Sonntag"))</formula>
    </cfRule>
  </conditionalFormatting>
  <conditionalFormatting sqref="H26:H30">
    <cfRule type="expression" dxfId="2058" priority="198" stopIfTrue="1">
      <formula>OR(($A26="Samstag"),($A26="Sonntag"))</formula>
    </cfRule>
  </conditionalFormatting>
  <conditionalFormatting sqref="H26:H30">
    <cfRule type="expression" dxfId="2057" priority="197" stopIfTrue="1">
      <formula>OR(($A26="Samstag"),($A26="Sonntag"))</formula>
    </cfRule>
  </conditionalFormatting>
  <conditionalFormatting sqref="H33:H37">
    <cfRule type="expression" dxfId="2056" priority="196" stopIfTrue="1">
      <formula>OR(($A33="Samstag"),($A33="Sonntag"))</formula>
    </cfRule>
  </conditionalFormatting>
  <conditionalFormatting sqref="H33:H37">
    <cfRule type="expression" dxfId="2055" priority="195" stopIfTrue="1">
      <formula>OR(($A33="Samstag"),($A33="Sonntag"))</formula>
    </cfRule>
  </conditionalFormatting>
  <conditionalFormatting sqref="H47:H51">
    <cfRule type="expression" dxfId="2054" priority="192" stopIfTrue="1">
      <formula>OR(($A47="Samstag"),($A47="Sonntag"))</formula>
    </cfRule>
  </conditionalFormatting>
  <conditionalFormatting sqref="H47:H51">
    <cfRule type="expression" dxfId="2053" priority="191" stopIfTrue="1">
      <formula>OR(($A47="Samstag"),($A47="Sonntag"))</formula>
    </cfRule>
  </conditionalFormatting>
  <conditionalFormatting sqref="I22:I52">
    <cfRule type="expression" dxfId="2052" priority="176" stopIfTrue="1">
      <formula>OR(($A22="Samstag"),($A22="Sonntag"))</formula>
    </cfRule>
  </conditionalFormatting>
  <conditionalFormatting sqref="I22:I52">
    <cfRule type="expression" dxfId="2051" priority="175" stopIfTrue="1">
      <formula>OR(($A22="Samstag"),($A22="Sonntag"))</formula>
    </cfRule>
  </conditionalFormatting>
  <conditionalFormatting sqref="N13 N17">
    <cfRule type="cellIs" dxfId="2050" priority="125" stopIfTrue="1" operator="equal">
      <formula>0</formula>
    </cfRule>
  </conditionalFormatting>
  <conditionalFormatting sqref="N13">
    <cfRule type="cellIs" dxfId="2049" priority="245" stopIfTrue="1" operator="equal">
      <formula>$F$12</formula>
    </cfRule>
    <cfRule type="cellIs" dxfId="2048" priority="246" stopIfTrue="1" operator="notEqual">
      <formula>$F$12</formula>
    </cfRule>
  </conditionalFormatting>
  <conditionalFormatting sqref="N17">
    <cfRule type="cellIs" dxfId="2047" priority="126" stopIfTrue="1" operator="notEqual">
      <formula>$F$16</formula>
    </cfRule>
    <cfRule type="cellIs" dxfId="2046" priority="244" stopIfTrue="1" operator="equal">
      <formula>$F$16</formula>
    </cfRule>
  </conditionalFormatting>
  <conditionalFormatting sqref="I23:I52">
    <cfRule type="expression" dxfId="2045" priority="122" stopIfTrue="1">
      <formula>OR(($A23="Samstag"),($A23="Sonntag"))</formula>
    </cfRule>
  </conditionalFormatting>
  <conditionalFormatting sqref="I23:I52">
    <cfRule type="expression" dxfId="2044" priority="121" stopIfTrue="1">
      <formula>OR(($A23="Samstag"),($A23="Sonntag"))</formula>
    </cfRule>
  </conditionalFormatting>
  <conditionalFormatting sqref="K55:N55">
    <cfRule type="expression" dxfId="2043" priority="120" stopIfTrue="1">
      <formula>OR(($A55="Samstag"),($A55="Sonntag"))</formula>
    </cfRule>
  </conditionalFormatting>
  <conditionalFormatting sqref="G32">
    <cfRule type="expression" dxfId="2042" priority="118" stopIfTrue="1">
      <formula>OR(($A32="Samstag"),($A32="Sonntag"))</formula>
    </cfRule>
  </conditionalFormatting>
  <conditionalFormatting sqref="G32">
    <cfRule type="expression" dxfId="2041" priority="117" stopIfTrue="1">
      <formula>OR(($A32="Samstag"),($A32="Sonntag"))</formula>
    </cfRule>
  </conditionalFormatting>
  <conditionalFormatting sqref="G52">
    <cfRule type="expression" dxfId="2040" priority="106" stopIfTrue="1">
      <formula>OR(($A52="Samstag"),($A52="Sonntag"))</formula>
    </cfRule>
  </conditionalFormatting>
  <conditionalFormatting sqref="G52">
    <cfRule type="expression" dxfId="2039" priority="105" stopIfTrue="1">
      <formula>OR(($A52="Samstag"),($A52="Sonntag"))</formula>
    </cfRule>
  </conditionalFormatting>
  <conditionalFormatting sqref="G46">
    <cfRule type="expression" dxfId="2038" priority="109" stopIfTrue="1">
      <formula>OR(($A46="Samstag"),($A46="Sonntag"))</formula>
    </cfRule>
  </conditionalFormatting>
  <conditionalFormatting sqref="G32">
    <cfRule type="expression" dxfId="2037" priority="113" stopIfTrue="1">
      <formula>OR(($A32="Samstag"),($A32="Sonntag"))</formula>
    </cfRule>
  </conditionalFormatting>
  <conditionalFormatting sqref="G24:G25">
    <cfRule type="expression" dxfId="2036" priority="116" stopIfTrue="1">
      <formula>OR(($A24="Samstag"),($A24="Sonntag"))</formula>
    </cfRule>
  </conditionalFormatting>
  <conditionalFormatting sqref="G24">
    <cfRule type="expression" dxfId="2035" priority="115" stopIfTrue="1">
      <formula>OR(($A24="Samstag"),($A24="Sonntag"))</formula>
    </cfRule>
  </conditionalFormatting>
  <conditionalFormatting sqref="G25">
    <cfRule type="expression" dxfId="2034" priority="114" stopIfTrue="1">
      <formula>OR(($A25="Samstag"),($A25="Sonntag"))</formula>
    </cfRule>
  </conditionalFormatting>
  <conditionalFormatting sqref="G39">
    <cfRule type="expression" dxfId="2033" priority="111" stopIfTrue="1">
      <formula>OR(($A39="Samstag"),($A39="Sonntag"))</formula>
    </cfRule>
  </conditionalFormatting>
  <conditionalFormatting sqref="G39">
    <cfRule type="expression" dxfId="2032" priority="112" stopIfTrue="1">
      <formula>OR(($A39="Samstag"),($A39="Sonntag"))</formula>
    </cfRule>
  </conditionalFormatting>
  <conditionalFormatting sqref="G39">
    <cfRule type="expression" dxfId="2031" priority="110" stopIfTrue="1">
      <formula>OR(($A39="Samstag"),($A39="Sonntag"))</formula>
    </cfRule>
  </conditionalFormatting>
  <conditionalFormatting sqref="G46">
    <cfRule type="expression" dxfId="2030" priority="108" stopIfTrue="1">
      <formula>OR(($A46="Samstag"),($A46="Sonntag"))</formula>
    </cfRule>
  </conditionalFormatting>
  <conditionalFormatting sqref="G46">
    <cfRule type="expression" dxfId="2029" priority="107" stopIfTrue="1">
      <formula>OR(($A46="Samstag"),($A46="Sonntag"))</formula>
    </cfRule>
  </conditionalFormatting>
  <conditionalFormatting sqref="F22:H52">
    <cfRule type="expression" dxfId="2028" priority="104" stopIfTrue="1">
      <formula>OR(($A22="Samstag"),($A22="Sonntag"))</formula>
    </cfRule>
  </conditionalFormatting>
  <conditionalFormatting sqref="F22:H52">
    <cfRule type="expression" dxfId="2027" priority="103" stopIfTrue="1">
      <formula>OR(($A22="Samstag"),($A22="Sonntag"))</formula>
    </cfRule>
  </conditionalFormatting>
  <conditionalFormatting sqref="G31">
    <cfRule type="expression" dxfId="2026" priority="102" stopIfTrue="1">
      <formula>OR(($A31="Samstag"),($A31="Sonntag"))</formula>
    </cfRule>
  </conditionalFormatting>
  <conditionalFormatting sqref="G31">
    <cfRule type="expression" dxfId="2025" priority="101" stopIfTrue="1">
      <formula>OR(($A31="Samstag"),($A31="Sonntag"))</formula>
    </cfRule>
  </conditionalFormatting>
  <conditionalFormatting sqref="G38">
    <cfRule type="expression" dxfId="2024" priority="100" stopIfTrue="1">
      <formula>OR(($A38="Samstag"),($A38="Sonntag"))</formula>
    </cfRule>
  </conditionalFormatting>
  <conditionalFormatting sqref="G38">
    <cfRule type="expression" dxfId="2023" priority="99" stopIfTrue="1">
      <formula>OR(($A38="Samstag"),($A38="Sonntag"))</formula>
    </cfRule>
  </conditionalFormatting>
  <conditionalFormatting sqref="G45">
    <cfRule type="expression" dxfId="2022" priority="98" stopIfTrue="1">
      <formula>OR(($A45="Samstag"),($A45="Sonntag"))</formula>
    </cfRule>
  </conditionalFormatting>
  <conditionalFormatting sqref="G45">
    <cfRule type="expression" dxfId="2021" priority="97" stopIfTrue="1">
      <formula>OR(($A45="Samstag"),($A45="Sonntag"))</formula>
    </cfRule>
  </conditionalFormatting>
  <conditionalFormatting sqref="G40:G44">
    <cfRule type="expression" dxfId="2020" priority="90" stopIfTrue="1">
      <formula>OR(($A40="Samstag"),($A40="Sonntag"))</formula>
    </cfRule>
  </conditionalFormatting>
  <conditionalFormatting sqref="G40:G44">
    <cfRule type="expression" dxfId="2019" priority="89" stopIfTrue="1">
      <formula>OR(($A40="Samstag"),($A40="Sonntag"))</formula>
    </cfRule>
  </conditionalFormatting>
  <conditionalFormatting sqref="G23">
    <cfRule type="expression" dxfId="2018" priority="96" stopIfTrue="1">
      <formula>OR(($A23="Samstag"),($A23="Sonntag"))</formula>
    </cfRule>
  </conditionalFormatting>
  <conditionalFormatting sqref="G23">
    <cfRule type="expression" dxfId="2017" priority="95" stopIfTrue="1">
      <formula>OR(($A23="Samstag"),($A23="Sonntag"))</formula>
    </cfRule>
  </conditionalFormatting>
  <conditionalFormatting sqref="G26:G30">
    <cfRule type="expression" dxfId="2016" priority="94" stopIfTrue="1">
      <formula>OR(($A26="Samstag"),($A26="Sonntag"))</formula>
    </cfRule>
  </conditionalFormatting>
  <conditionalFormatting sqref="G26:G30">
    <cfRule type="expression" dxfId="2015" priority="93" stopIfTrue="1">
      <formula>OR(($A26="Samstag"),($A26="Sonntag"))</formula>
    </cfRule>
  </conditionalFormatting>
  <conditionalFormatting sqref="G33:G37">
    <cfRule type="expression" dxfId="2014" priority="92" stopIfTrue="1">
      <formula>OR(($A33="Samstag"),($A33="Sonntag"))</formula>
    </cfRule>
  </conditionalFormatting>
  <conditionalFormatting sqref="G33:G37">
    <cfRule type="expression" dxfId="2013" priority="91" stopIfTrue="1">
      <formula>OR(($A33="Samstag"),($A33="Sonntag"))</formula>
    </cfRule>
  </conditionalFormatting>
  <conditionalFormatting sqref="G47:G51">
    <cfRule type="expression" dxfId="2012" priority="88" stopIfTrue="1">
      <formula>OR(($A47="Samstag"),($A47="Sonntag"))</formula>
    </cfRule>
  </conditionalFormatting>
  <conditionalFormatting sqref="G47:G51">
    <cfRule type="expression" dxfId="2011" priority="87" stopIfTrue="1">
      <formula>OR(($A47="Samstag"),($A47="Sonntag"))</formula>
    </cfRule>
  </conditionalFormatting>
  <conditionalFormatting sqref="H32">
    <cfRule type="expression" dxfId="2010" priority="86" stopIfTrue="1">
      <formula>OR(($A32="Samstag"),($A32="Sonntag"))</formula>
    </cfRule>
  </conditionalFormatting>
  <conditionalFormatting sqref="H32">
    <cfRule type="expression" dxfId="2009" priority="85" stopIfTrue="1">
      <formula>OR(($A32="Samstag"),($A32="Sonntag"))</formula>
    </cfRule>
  </conditionalFormatting>
  <conditionalFormatting sqref="H52">
    <cfRule type="expression" dxfId="2008" priority="74" stopIfTrue="1">
      <formula>OR(($A52="Samstag"),($A52="Sonntag"))</formula>
    </cfRule>
  </conditionalFormatting>
  <conditionalFormatting sqref="H52">
    <cfRule type="expression" dxfId="2007" priority="73" stopIfTrue="1">
      <formula>OR(($A52="Samstag"),($A52="Sonntag"))</formula>
    </cfRule>
  </conditionalFormatting>
  <conditionalFormatting sqref="H46">
    <cfRule type="expression" dxfId="2006" priority="77" stopIfTrue="1">
      <formula>OR(($A46="Samstag"),($A46="Sonntag"))</formula>
    </cfRule>
  </conditionalFormatting>
  <conditionalFormatting sqref="H32">
    <cfRule type="expression" dxfId="2005" priority="81" stopIfTrue="1">
      <formula>OR(($A32="Samstag"),($A32="Sonntag"))</formula>
    </cfRule>
  </conditionalFormatting>
  <conditionalFormatting sqref="H24:H25">
    <cfRule type="expression" dxfId="2004" priority="84" stopIfTrue="1">
      <formula>OR(($A24="Samstag"),($A24="Sonntag"))</formula>
    </cfRule>
  </conditionalFormatting>
  <conditionalFormatting sqref="H24">
    <cfRule type="expression" dxfId="2003" priority="83" stopIfTrue="1">
      <formula>OR(($A24="Samstag"),($A24="Sonntag"))</formula>
    </cfRule>
  </conditionalFormatting>
  <conditionalFormatting sqref="H25">
    <cfRule type="expression" dxfId="2002" priority="82" stopIfTrue="1">
      <formula>OR(($A25="Samstag"),($A25="Sonntag"))</formula>
    </cfRule>
  </conditionalFormatting>
  <conditionalFormatting sqref="H39">
    <cfRule type="expression" dxfId="2001" priority="79" stopIfTrue="1">
      <formula>OR(($A39="Samstag"),($A39="Sonntag"))</formula>
    </cfRule>
  </conditionalFormatting>
  <conditionalFormatting sqref="H39">
    <cfRule type="expression" dxfId="2000" priority="80" stopIfTrue="1">
      <formula>OR(($A39="Samstag"),($A39="Sonntag"))</formula>
    </cfRule>
  </conditionalFormatting>
  <conditionalFormatting sqref="H39">
    <cfRule type="expression" dxfId="1999" priority="78" stopIfTrue="1">
      <formula>OR(($A39="Samstag"),($A39="Sonntag"))</formula>
    </cfRule>
  </conditionalFormatting>
  <conditionalFormatting sqref="H46">
    <cfRule type="expression" dxfId="1998" priority="76" stopIfTrue="1">
      <formula>OR(($A46="Samstag"),($A46="Sonntag"))</formula>
    </cfRule>
  </conditionalFormatting>
  <conditionalFormatting sqref="H46">
    <cfRule type="expression" dxfId="1997" priority="75" stopIfTrue="1">
      <formula>OR(($A46="Samstag"),($A46="Sonntag"))</formula>
    </cfRule>
  </conditionalFormatting>
  <conditionalFormatting sqref="H22:H52">
    <cfRule type="expression" dxfId="1996" priority="72" stopIfTrue="1">
      <formula>OR(($A22="Samstag"),($A22="Sonntag"))</formula>
    </cfRule>
  </conditionalFormatting>
  <conditionalFormatting sqref="H22:H52">
    <cfRule type="expression" dxfId="1995" priority="71" stopIfTrue="1">
      <formula>OR(($A22="Samstag"),($A22="Sonntag"))</formula>
    </cfRule>
  </conditionalFormatting>
  <conditionalFormatting sqref="H31">
    <cfRule type="expression" dxfId="1994" priority="70" stopIfTrue="1">
      <formula>OR(($A31="Samstag"),($A31="Sonntag"))</formula>
    </cfRule>
  </conditionalFormatting>
  <conditionalFormatting sqref="H31">
    <cfRule type="expression" dxfId="1993" priority="69" stopIfTrue="1">
      <formula>OR(($A31="Samstag"),($A31="Sonntag"))</formula>
    </cfRule>
  </conditionalFormatting>
  <conditionalFormatting sqref="H38">
    <cfRule type="expression" dxfId="1992" priority="68" stopIfTrue="1">
      <formula>OR(($A38="Samstag"),($A38="Sonntag"))</formula>
    </cfRule>
  </conditionalFormatting>
  <conditionalFormatting sqref="H38">
    <cfRule type="expression" dxfId="1991" priority="67" stopIfTrue="1">
      <formula>OR(($A38="Samstag"),($A38="Sonntag"))</formula>
    </cfRule>
  </conditionalFormatting>
  <conditionalFormatting sqref="H45">
    <cfRule type="expression" dxfId="1990" priority="66" stopIfTrue="1">
      <formula>OR(($A45="Samstag"),($A45="Sonntag"))</formula>
    </cfRule>
  </conditionalFormatting>
  <conditionalFormatting sqref="H45">
    <cfRule type="expression" dxfId="1989" priority="65" stopIfTrue="1">
      <formula>OR(($A45="Samstag"),($A45="Sonntag"))</formula>
    </cfRule>
  </conditionalFormatting>
  <conditionalFormatting sqref="H40:H44">
    <cfRule type="expression" dxfId="1988" priority="58" stopIfTrue="1">
      <formula>OR(($A40="Samstag"),($A40="Sonntag"))</formula>
    </cfRule>
  </conditionalFormatting>
  <conditionalFormatting sqref="H40:H44">
    <cfRule type="expression" dxfId="1987" priority="57" stopIfTrue="1">
      <formula>OR(($A40="Samstag"),($A40="Sonntag"))</formula>
    </cfRule>
  </conditionalFormatting>
  <conditionalFormatting sqref="H23">
    <cfRule type="expression" dxfId="1986" priority="64" stopIfTrue="1">
      <formula>OR(($A23="Samstag"),($A23="Sonntag"))</formula>
    </cfRule>
  </conditionalFormatting>
  <conditionalFormatting sqref="H23">
    <cfRule type="expression" dxfId="1985" priority="63" stopIfTrue="1">
      <formula>OR(($A23="Samstag"),($A23="Sonntag"))</formula>
    </cfRule>
  </conditionalFormatting>
  <conditionalFormatting sqref="H26:H30">
    <cfRule type="expression" dxfId="1984" priority="62" stopIfTrue="1">
      <formula>OR(($A26="Samstag"),($A26="Sonntag"))</formula>
    </cfRule>
  </conditionalFormatting>
  <conditionalFormatting sqref="H26:H30">
    <cfRule type="expression" dxfId="1983" priority="61" stopIfTrue="1">
      <formula>OR(($A26="Samstag"),($A26="Sonntag"))</formula>
    </cfRule>
  </conditionalFormatting>
  <conditionalFormatting sqref="H33:H37">
    <cfRule type="expression" dxfId="1982" priority="60" stopIfTrue="1">
      <formula>OR(($A33="Samstag"),($A33="Sonntag"))</formula>
    </cfRule>
  </conditionalFormatting>
  <conditionalFormatting sqref="H33:H37">
    <cfRule type="expression" dxfId="1981" priority="59" stopIfTrue="1">
      <formula>OR(($A33="Samstag"),($A33="Sonntag"))</formula>
    </cfRule>
  </conditionalFormatting>
  <conditionalFormatting sqref="H47:H51">
    <cfRule type="expression" dxfId="1980" priority="56" stopIfTrue="1">
      <formula>OR(($A47="Samstag"),($A47="Sonntag"))</formula>
    </cfRule>
  </conditionalFormatting>
  <conditionalFormatting sqref="H47:H51">
    <cfRule type="expression" dxfId="1979" priority="55" stopIfTrue="1">
      <formula>OR(($A47="Samstag"),($A47="Sonntag"))</formula>
    </cfRule>
  </conditionalFormatting>
  <conditionalFormatting sqref="F23:H52">
    <cfRule type="expression" dxfId="1978" priority="54" stopIfTrue="1">
      <formula>OR(($A23="Samstag"),($A23="Sonntag"))</formula>
    </cfRule>
  </conditionalFormatting>
  <conditionalFormatting sqref="F23:H52">
    <cfRule type="expression" dxfId="1977" priority="53" stopIfTrue="1">
      <formula>OR(($A23="Samstag"),($A23="Sonntag"))</formula>
    </cfRule>
  </conditionalFormatting>
  <conditionalFormatting sqref="I22:I52">
    <cfRule type="expression" dxfId="1976" priority="38">
      <formula>(I22&gt;10)</formula>
    </cfRule>
    <cfRule type="expression" dxfId="1975" priority="49" stopIfTrue="1">
      <formula>OR(($A22="Samstag"),($A22="Sonntag"))</formula>
    </cfRule>
    <cfRule type="expression" dxfId="1974" priority="50" stopIfTrue="1">
      <formula>OR(($A22="Samstag"),($A22="Sonntag"))</formula>
    </cfRule>
    <cfRule type="expression" dxfId="1973" priority="52" stopIfTrue="1">
      <formula>OR(($A22="Samstag"),($A22="Sonntag"))</formula>
    </cfRule>
  </conditionalFormatting>
  <conditionalFormatting sqref="I22:I52">
    <cfRule type="expression" dxfId="1972" priority="51" stopIfTrue="1">
      <formula>OR(($A22="Samstag"),($A22="Sonntag"))</formula>
    </cfRule>
  </conditionalFormatting>
  <conditionalFormatting sqref="K56:P59">
    <cfRule type="expression" dxfId="1971" priority="48">
      <formula>OR(ISERROR($K$55),($K$55&gt;""))</formula>
    </cfRule>
  </conditionalFormatting>
  <conditionalFormatting sqref="L44:L52">
    <cfRule type="expression" dxfId="1970" priority="44" stopIfTrue="1">
      <formula>OR(($A44="Samstag"),($A44="Sonntag"))</formula>
    </cfRule>
  </conditionalFormatting>
  <conditionalFormatting sqref="L44:L52">
    <cfRule type="expression" dxfId="1969" priority="47" stopIfTrue="1">
      <formula>OR(($A44="Samstag"),($A44="Sonntag"))</formula>
    </cfRule>
  </conditionalFormatting>
  <conditionalFormatting sqref="L44:L52">
    <cfRule type="expression" dxfId="1968" priority="46" stopIfTrue="1">
      <formula>OR(($A44="Samstag"),($A44="Sonntag"))</formula>
    </cfRule>
  </conditionalFormatting>
  <conditionalFormatting sqref="L44:L52">
    <cfRule type="expression" dxfId="1967" priority="45" stopIfTrue="1">
      <formula>OR(($A44="Samstag"),($A44="Sonntag"))</formula>
    </cfRule>
  </conditionalFormatting>
  <conditionalFormatting sqref="L22">
    <cfRule type="expression" dxfId="1966" priority="43" stopIfTrue="1">
      <formula>OR(($A22="Samstag"),($A22="Sonntag"),($AA22=TRUE()))</formula>
    </cfRule>
  </conditionalFormatting>
  <conditionalFormatting sqref="L22">
    <cfRule type="expression" dxfId="1965" priority="42" stopIfTrue="1">
      <formula>OR(($A22="Samstag"),($A22="Sonntag"))</formula>
    </cfRule>
  </conditionalFormatting>
  <conditionalFormatting sqref="L40:L43">
    <cfRule type="expression" dxfId="1964" priority="41" stopIfTrue="1">
      <formula>OR(($A40="Samstag"),($A40="Sonntag"),($AA40=TRUE()))</formula>
    </cfRule>
  </conditionalFormatting>
  <conditionalFormatting sqref="L40:L43">
    <cfRule type="expression" dxfId="1963" priority="40" stopIfTrue="1">
      <formula>OR(($A40="Samstag"),($A40="Sonntag"))</formula>
    </cfRule>
  </conditionalFormatting>
  <conditionalFormatting sqref="G22:G52">
    <cfRule type="expression" dxfId="1962" priority="39">
      <formula>OR(AND(I22&gt;6,G22&lt;TIME(0,30,0)),AND(I22&gt;9,G22&lt;TIME(0,45,0)))</formula>
    </cfRule>
  </conditionalFormatting>
  <conditionalFormatting sqref="J22:K52">
    <cfRule type="expression" dxfId="1961" priority="37" stopIfTrue="1">
      <formula>OR(($A22="Samstag"),($A22="Sonntag"),($AA22=TRUE()))</formula>
    </cfRule>
  </conditionalFormatting>
  <conditionalFormatting sqref="J22:J52">
    <cfRule type="expression" dxfId="1960" priority="36" stopIfTrue="1">
      <formula>OR(($A22="Samstag"),($A22="Sonntag"))</formula>
    </cfRule>
  </conditionalFormatting>
  <conditionalFormatting sqref="J22:J52">
    <cfRule type="expression" dxfId="1959" priority="35" stopIfTrue="1">
      <formula>OR(($A22="Samstag"),($A22="Sonntag"))</formula>
    </cfRule>
  </conditionalFormatting>
  <conditionalFormatting sqref="K32">
    <cfRule type="expression" dxfId="1958" priority="34" stopIfTrue="1">
      <formula>OR(($A32="Samstag"),($A32="Sonntag"))</formula>
    </cfRule>
  </conditionalFormatting>
  <conditionalFormatting sqref="K32">
    <cfRule type="expression" dxfId="1957" priority="33" stopIfTrue="1">
      <formula>OR(($A32="Samstag"),($A32="Sonntag"))</formula>
    </cfRule>
  </conditionalFormatting>
  <conditionalFormatting sqref="K52">
    <cfRule type="expression" dxfId="1956" priority="22" stopIfTrue="1">
      <formula>OR(($A52="Samstag"),($A52="Sonntag"))</formula>
    </cfRule>
  </conditionalFormatting>
  <conditionalFormatting sqref="K52">
    <cfRule type="expression" dxfId="1955" priority="21" stopIfTrue="1">
      <formula>OR(($A52="Samstag"),($A52="Sonntag"))</formula>
    </cfRule>
  </conditionalFormatting>
  <conditionalFormatting sqref="K46">
    <cfRule type="expression" dxfId="1954" priority="25" stopIfTrue="1">
      <formula>OR(($A46="Samstag"),($A46="Sonntag"))</formula>
    </cfRule>
  </conditionalFormatting>
  <conditionalFormatting sqref="K32">
    <cfRule type="expression" dxfId="1953" priority="29" stopIfTrue="1">
      <formula>OR(($A32="Samstag"),($A32="Sonntag"))</formula>
    </cfRule>
  </conditionalFormatting>
  <conditionalFormatting sqref="K24:K25">
    <cfRule type="expression" dxfId="1952" priority="32" stopIfTrue="1">
      <formula>OR(($A24="Samstag"),($A24="Sonntag"))</formula>
    </cfRule>
  </conditionalFormatting>
  <conditionalFormatting sqref="K24">
    <cfRule type="expression" dxfId="1951" priority="31" stopIfTrue="1">
      <formula>OR(($A24="Samstag"),($A24="Sonntag"))</formula>
    </cfRule>
  </conditionalFormatting>
  <conditionalFormatting sqref="K25">
    <cfRule type="expression" dxfId="1950" priority="30" stopIfTrue="1">
      <formula>OR(($A25="Samstag"),($A25="Sonntag"))</formula>
    </cfRule>
  </conditionalFormatting>
  <conditionalFormatting sqref="K39">
    <cfRule type="expression" dxfId="1949" priority="27" stopIfTrue="1">
      <formula>OR(($A39="Samstag"),($A39="Sonntag"))</formula>
    </cfRule>
  </conditionalFormatting>
  <conditionalFormatting sqref="K39">
    <cfRule type="expression" dxfId="1948" priority="28" stopIfTrue="1">
      <formula>OR(($A39="Samstag"),($A39="Sonntag"))</formula>
    </cfRule>
  </conditionalFormatting>
  <conditionalFormatting sqref="K39">
    <cfRule type="expression" dxfId="1947" priority="26" stopIfTrue="1">
      <formula>OR(($A39="Samstag"),($A39="Sonntag"))</formula>
    </cfRule>
  </conditionalFormatting>
  <conditionalFormatting sqref="K46">
    <cfRule type="expression" dxfId="1946" priority="24" stopIfTrue="1">
      <formula>OR(($A46="Samstag"),($A46="Sonntag"))</formula>
    </cfRule>
  </conditionalFormatting>
  <conditionalFormatting sqref="K46">
    <cfRule type="expression" dxfId="1945" priority="23" stopIfTrue="1">
      <formula>OR(($A46="Samstag"),($A46="Sonntag"))</formula>
    </cfRule>
  </conditionalFormatting>
  <conditionalFormatting sqref="K22:K52">
    <cfRule type="expression" dxfId="1944" priority="20" stopIfTrue="1">
      <formula>OR(($A22="Samstag"),($A22="Sonntag"))</formula>
    </cfRule>
  </conditionalFormatting>
  <conditionalFormatting sqref="K22:K52">
    <cfRule type="expression" dxfId="1943" priority="19" stopIfTrue="1">
      <formula>OR(($A22="Samstag"),($A22="Sonntag"))</formula>
    </cfRule>
  </conditionalFormatting>
  <conditionalFormatting sqref="K31">
    <cfRule type="expression" dxfId="1942" priority="18" stopIfTrue="1">
      <formula>OR(($A31="Samstag"),($A31="Sonntag"))</formula>
    </cfRule>
  </conditionalFormatting>
  <conditionalFormatting sqref="K31">
    <cfRule type="expression" dxfId="1941" priority="17" stopIfTrue="1">
      <formula>OR(($A31="Samstag"),($A31="Sonntag"))</formula>
    </cfRule>
  </conditionalFormatting>
  <conditionalFormatting sqref="K38">
    <cfRule type="expression" dxfId="1940" priority="16" stopIfTrue="1">
      <formula>OR(($A38="Samstag"),($A38="Sonntag"))</formula>
    </cfRule>
  </conditionalFormatting>
  <conditionalFormatting sqref="K38">
    <cfRule type="expression" dxfId="1939" priority="15" stopIfTrue="1">
      <formula>OR(($A38="Samstag"),($A38="Sonntag"))</formula>
    </cfRule>
  </conditionalFormatting>
  <conditionalFormatting sqref="K45">
    <cfRule type="expression" dxfId="1938" priority="14" stopIfTrue="1">
      <formula>OR(($A45="Samstag"),($A45="Sonntag"))</formula>
    </cfRule>
  </conditionalFormatting>
  <conditionalFormatting sqref="K45">
    <cfRule type="expression" dxfId="1937" priority="13" stopIfTrue="1">
      <formula>OR(($A45="Samstag"),($A45="Sonntag"))</formula>
    </cfRule>
  </conditionalFormatting>
  <conditionalFormatting sqref="K40:K44">
    <cfRule type="expression" dxfId="1936" priority="6" stopIfTrue="1">
      <formula>OR(($A40="Samstag"),($A40="Sonntag"))</formula>
    </cfRule>
  </conditionalFormatting>
  <conditionalFormatting sqref="K40:K44">
    <cfRule type="expression" dxfId="1935" priority="5" stopIfTrue="1">
      <formula>OR(($A40="Samstag"),($A40="Sonntag"))</formula>
    </cfRule>
  </conditionalFormatting>
  <conditionalFormatting sqref="K23">
    <cfRule type="expression" dxfId="1934" priority="12" stopIfTrue="1">
      <formula>OR(($A23="Samstag"),($A23="Sonntag"))</formula>
    </cfRule>
  </conditionalFormatting>
  <conditionalFormatting sqref="K23">
    <cfRule type="expression" dxfId="1933" priority="11" stopIfTrue="1">
      <formula>OR(($A23="Samstag"),($A23="Sonntag"))</formula>
    </cfRule>
  </conditionalFormatting>
  <conditionalFormatting sqref="K26:K30">
    <cfRule type="expression" dxfId="1932" priority="10" stopIfTrue="1">
      <formula>OR(($A26="Samstag"),($A26="Sonntag"))</formula>
    </cfRule>
  </conditionalFormatting>
  <conditionalFormatting sqref="K26:K30">
    <cfRule type="expression" dxfId="1931" priority="9" stopIfTrue="1">
      <formula>OR(($A26="Samstag"),($A26="Sonntag"))</formula>
    </cfRule>
  </conditionalFormatting>
  <conditionalFormatting sqref="K33:K37">
    <cfRule type="expression" dxfId="1930" priority="8" stopIfTrue="1">
      <formula>OR(($A33="Samstag"),($A33="Sonntag"))</formula>
    </cfRule>
  </conditionalFormatting>
  <conditionalFormatting sqref="K33:K37">
    <cfRule type="expression" dxfId="1929" priority="7" stopIfTrue="1">
      <formula>OR(($A33="Samstag"),($A33="Sonntag"))</formula>
    </cfRule>
  </conditionalFormatting>
  <conditionalFormatting sqref="K47:K51">
    <cfRule type="expression" dxfId="1928" priority="4" stopIfTrue="1">
      <formula>OR(($A47="Samstag"),($A47="Sonntag"))</formula>
    </cfRule>
  </conditionalFormatting>
  <conditionalFormatting sqref="K47:K51">
    <cfRule type="expression" dxfId="1927" priority="3" stopIfTrue="1">
      <formula>OR(($A47="Samstag"),($A47="Sonntag"))</formula>
    </cfRule>
  </conditionalFormatting>
  <conditionalFormatting sqref="J22:J52">
    <cfRule type="expression" dxfId="1926" priority="2" stopIfTrue="1">
      <formula>OR(($A22="Samstag"),($A22="Sonntag"))</formula>
    </cfRule>
  </conditionalFormatting>
  <conditionalFormatting sqref="J22:J52">
    <cfRule type="expression" dxfId="1925" priority="1" stopIfTrue="1">
      <formula>OR(($A22="Samstag"),($A22="Sonntag"))</formula>
    </cfRule>
  </conditionalFormatting>
  <dataValidations count="8">
    <dataValidation type="custom" allowBlank="1" showInputMessage="1" showErrorMessage="1" errorTitle="Eingabefehler" error="Bitte geben Sie eine Uhrzeit ( hh:mm ) zwischen 0:00 und 23:59 ein. Bitte beachten Sie, dass eine Eingabe an Wochenenden sowie an Tagen mit dem Status &quot;bezahlt abwesend&quot; nicht möglich ist." sqref="F22:H52">
      <formula1>AND(ISNUMBER(F22),DAY($B22)&gt;0,NOT(AND($C22="BA",NOT($S$8))),NOT(AND(OR($A22="Sonntag",$A22="Samstag"),NOT($S$7))),F22&gt;=TIME(0,0,0),F22&lt;=TIME(23,59,59))</formula1>
    </dataValidation>
    <dataValidation type="list" showInputMessage="1" showErrorMessage="1" sqref="C22:C52">
      <formula1>Auswahlart</formula1>
    </dataValidation>
    <dataValidation type="list" allowBlank="1" showInputMessage="1" showErrorMessage="1" sqref="E17:F17">
      <formula1>$B$22:$B$52</formula1>
    </dataValidation>
    <dataValidation showInputMessage="1" showErrorMessage="1" sqref="G10:I10"/>
    <dataValidation type="decimal" allowBlank="1" showInputMessage="1" showErrorMessage="1" sqref="I16:M16 I12:M12">
      <formula1>$AA$35</formula1>
      <formula2>$AA$36</formula2>
    </dataValidation>
    <dataValidation type="decimal" allowBlank="1" showInputMessage="1" showErrorMessage="1" errorTitle="Eingabefehler" error="Bitte geben Sie eine positive Dezimalzahl ein." sqref="D22:D52">
      <formula1>0</formula1>
      <formula2>20</formula2>
    </dataValidation>
    <dataValidation type="decimal" allowBlank="1" showInputMessage="1" showErrorMessage="1" sqref="M7:O7">
      <formula1>-9999999</formula1>
      <formula2>9999999</formula2>
    </dataValidation>
    <dataValidation type="decimal" allowBlank="1" showInputMessage="1" showErrorMessage="1" sqref="F12 F16 I17:M17 I13:M13">
      <formula1>0</formula1>
      <formula2>45</formula2>
    </dataValidation>
  </dataValidations>
  <pageMargins left="0.43307086614173229" right="0.23622047244094491" top="0.89" bottom="0.54" header="0.4" footer="0.31496062992125984"/>
  <pageSetup paperSize="9" scale="65" orientation="portrait" r:id="rId1"/>
  <headerFooter differentFirst="1" alignWithMargins="0">
    <firstHeader>&amp;L&amp;G</firstHeader>
  </headerFooter>
  <drawing r:id="rId2"/>
  <legacyDrawing r:id="rId3"/>
  <legacyDrawingHF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pageSetUpPr fitToPage="1"/>
  </sheetPr>
  <dimension ref="A1:IR80"/>
  <sheetViews>
    <sheetView showGridLines="0" showRowColHeaders="0" topLeftCell="A10" zoomScaleNormal="100" zoomScaleSheetLayoutView="55" workbookViewId="0">
      <selection activeCell="C26" sqref="C26"/>
    </sheetView>
  </sheetViews>
  <sheetFormatPr baseColWidth="10" defaultColWidth="6.25" defaultRowHeight="0" customHeight="1" zeroHeight="1"/>
  <cols>
    <col min="1" max="1" width="5" style="6" customWidth="1"/>
    <col min="2" max="2" width="11.25" style="57" customWidth="1"/>
    <col min="3" max="3" width="7.5" style="57" customWidth="1"/>
    <col min="4" max="8" width="7.75" style="57" customWidth="1"/>
    <col min="9" max="13" width="8.125" style="57" customWidth="1"/>
    <col min="14" max="14" width="7.5" style="57" customWidth="1"/>
    <col min="15" max="15" width="10" style="57" customWidth="1"/>
    <col min="16" max="16" width="7.5" style="24" customWidth="1"/>
    <col min="17" max="17" width="5" style="24" customWidth="1"/>
    <col min="18" max="18" width="10.125" style="6" customWidth="1"/>
    <col min="19" max="19" width="7.5" style="6" bestFit="1" customWidth="1"/>
    <col min="20" max="20" width="8.5" style="6" bestFit="1" customWidth="1"/>
    <col min="21" max="21" width="7.25" style="6" bestFit="1" customWidth="1"/>
    <col min="22" max="22" width="7.75" style="6" bestFit="1" customWidth="1"/>
    <col min="23" max="23" width="7.5" style="6" bestFit="1" customWidth="1"/>
    <col min="24" max="24" width="8.125" style="6" bestFit="1" customWidth="1"/>
    <col min="25" max="25" width="7.25" style="6" bestFit="1" customWidth="1"/>
    <col min="26" max="26" width="7.25" style="6" customWidth="1"/>
    <col min="27" max="27" width="10.5" style="68" customWidth="1"/>
    <col min="28" max="28" width="9.875" style="68" customWidth="1"/>
    <col min="29" max="29" width="11.125" style="6" customWidth="1"/>
    <col min="30" max="31" width="11.125" style="95" customWidth="1"/>
    <col min="32" max="34" width="6.25" style="96" customWidth="1"/>
    <col min="35" max="252" width="6.25" style="3" customWidth="1"/>
    <col min="253" max="16384" width="6.25" style="3"/>
  </cols>
  <sheetData>
    <row r="1" spans="1:34" ht="11.25" customHeight="1">
      <c r="A1" s="3"/>
      <c r="B1" s="92"/>
      <c r="C1" s="92"/>
      <c r="D1" s="92"/>
      <c r="E1" s="92"/>
      <c r="F1" s="92"/>
      <c r="G1" s="92"/>
      <c r="H1" s="92"/>
      <c r="I1" s="92"/>
      <c r="J1" s="92"/>
      <c r="K1" s="92"/>
      <c r="L1" s="92"/>
      <c r="M1" s="92"/>
      <c r="N1" s="92"/>
      <c r="O1" s="92"/>
      <c r="P1" s="8"/>
      <c r="Q1" s="154"/>
      <c r="R1" s="154"/>
      <c r="S1" s="69"/>
      <c r="T1" s="69"/>
      <c r="U1" s="69"/>
      <c r="V1" s="3"/>
      <c r="W1" s="3"/>
      <c r="X1" s="3"/>
      <c r="Y1" s="3"/>
      <c r="Z1" s="3"/>
      <c r="AA1" s="3"/>
      <c r="AB1" s="3"/>
      <c r="AC1" s="3"/>
      <c r="AD1" s="3"/>
      <c r="AE1" s="3"/>
      <c r="AF1" s="3"/>
      <c r="AG1" s="3"/>
      <c r="AH1" s="3"/>
    </row>
    <row r="2" spans="1:34" ht="18.75" customHeight="1">
      <c r="A2" s="3"/>
      <c r="B2" s="221" t="s">
        <v>9</v>
      </c>
      <c r="C2" s="221"/>
      <c r="D2" s="221"/>
      <c r="E2" s="221"/>
      <c r="F2" s="221"/>
      <c r="G2" s="221"/>
      <c r="H2" s="221"/>
      <c r="I2" s="221" t="s">
        <v>32</v>
      </c>
      <c r="J2" s="221"/>
      <c r="K2" s="278">
        <f>Übersicht!K2</f>
        <v>2017</v>
      </c>
      <c r="L2" s="278"/>
      <c r="M2" s="93"/>
      <c r="N2" s="93"/>
      <c r="O2" s="93"/>
      <c r="P2" s="94"/>
      <c r="Q2" s="154"/>
      <c r="R2" s="154"/>
      <c r="S2" s="69"/>
      <c r="T2" s="69"/>
      <c r="U2" s="69"/>
      <c r="V2" s="3"/>
      <c r="W2" s="3"/>
      <c r="X2" s="3"/>
      <c r="Y2" s="3"/>
      <c r="Z2" s="3"/>
      <c r="AA2" s="3"/>
      <c r="AB2" s="3"/>
      <c r="AC2" s="3"/>
      <c r="AD2" s="3"/>
      <c r="AE2" s="3"/>
      <c r="AF2" s="3"/>
      <c r="AG2" s="3"/>
      <c r="AH2" s="3"/>
    </row>
    <row r="3" spans="1:34" ht="11.25" customHeight="1">
      <c r="A3" s="3"/>
      <c r="B3" s="10"/>
      <c r="C3" s="10"/>
      <c r="D3" s="10"/>
      <c r="E3" s="10"/>
      <c r="F3" s="10"/>
      <c r="G3" s="10"/>
      <c r="H3" s="10"/>
      <c r="I3" s="10"/>
      <c r="J3" s="10"/>
      <c r="K3" s="10"/>
      <c r="L3" s="10"/>
      <c r="M3" s="10"/>
      <c r="N3" s="10"/>
      <c r="O3" s="10"/>
      <c r="P3" s="8"/>
      <c r="Q3" s="154"/>
      <c r="R3" s="154"/>
      <c r="S3" s="69"/>
      <c r="T3" s="69"/>
      <c r="U3" s="69"/>
      <c r="V3" s="3"/>
      <c r="W3" s="3"/>
      <c r="X3" s="3"/>
      <c r="Y3" s="3"/>
      <c r="Z3" s="3"/>
      <c r="AA3" s="3"/>
      <c r="AB3" s="3"/>
      <c r="AC3" s="3"/>
      <c r="AD3" s="3"/>
      <c r="AE3" s="3"/>
      <c r="AF3" s="3"/>
      <c r="AG3" s="3"/>
      <c r="AH3" s="3"/>
    </row>
    <row r="4" spans="1:34" ht="15" customHeight="1">
      <c r="A4" s="3"/>
      <c r="B4" s="11"/>
      <c r="C4" s="12"/>
      <c r="D4" s="12"/>
      <c r="E4" s="12"/>
      <c r="F4" s="12"/>
      <c r="G4" s="12"/>
      <c r="H4" s="12"/>
      <c r="I4" s="12"/>
      <c r="J4" s="12"/>
      <c r="K4" s="12"/>
      <c r="L4" s="12"/>
      <c r="M4" s="12"/>
      <c r="N4" s="12"/>
      <c r="O4" s="12"/>
      <c r="P4" s="13"/>
      <c r="Q4" s="154"/>
      <c r="R4" s="154"/>
      <c r="S4" s="69"/>
      <c r="T4" s="69"/>
      <c r="U4" s="69"/>
      <c r="V4" s="3"/>
      <c r="W4" s="3"/>
      <c r="X4" s="3"/>
      <c r="Y4" s="3"/>
      <c r="Z4" s="3"/>
      <c r="AA4" s="3"/>
      <c r="AB4" s="3"/>
      <c r="AC4" s="3"/>
      <c r="AD4" s="3"/>
      <c r="AE4" s="3"/>
      <c r="AF4" s="3"/>
      <c r="AG4" s="3"/>
      <c r="AH4" s="3"/>
    </row>
    <row r="5" spans="1:34" ht="22.5" customHeight="1">
      <c r="A5" s="3"/>
      <c r="B5" s="107"/>
      <c r="C5" s="25" t="s">
        <v>3</v>
      </c>
      <c r="D5" s="15"/>
      <c r="E5" s="258" t="str">
        <f>IF(Übersicht!E5&lt;&gt;"",Übersicht!E5,"")</f>
        <v>Jansen, David</v>
      </c>
      <c r="F5" s="259"/>
      <c r="G5" s="259"/>
      <c r="H5" s="260"/>
      <c r="I5" s="16"/>
      <c r="J5" s="25" t="s">
        <v>65</v>
      </c>
      <c r="K5" s="16"/>
      <c r="M5" s="261">
        <f>IF(Übersicht!M5&lt;&gt;"",Übersicht!M5,"")</f>
        <v>419510</v>
      </c>
      <c r="N5" s="262"/>
      <c r="O5" s="263"/>
      <c r="P5" s="17"/>
      <c r="Q5" s="155"/>
      <c r="R5" s="155"/>
      <c r="S5" s="68"/>
      <c r="T5" s="68"/>
      <c r="V5" s="3"/>
      <c r="W5" s="3"/>
      <c r="X5" s="3"/>
      <c r="Y5" s="3"/>
      <c r="Z5" s="3"/>
      <c r="AA5" s="3"/>
      <c r="AB5" s="3"/>
      <c r="AC5" s="3"/>
      <c r="AD5" s="3"/>
      <c r="AE5" s="3"/>
      <c r="AF5" s="3"/>
      <c r="AG5" s="3"/>
      <c r="AH5" s="3"/>
    </row>
    <row r="6" spans="1:34" ht="15">
      <c r="A6" s="3"/>
      <c r="B6" s="18"/>
      <c r="C6" s="19"/>
      <c r="D6" s="19"/>
      <c r="E6" s="19"/>
      <c r="F6" s="19"/>
      <c r="G6" s="20"/>
      <c r="H6" s="20"/>
      <c r="I6" s="16"/>
      <c r="J6" s="16"/>
      <c r="P6" s="23"/>
      <c r="Q6" s="156"/>
      <c r="R6" s="156"/>
      <c r="V6" s="3"/>
      <c r="W6" s="3"/>
      <c r="X6" s="3"/>
      <c r="Y6" s="3"/>
      <c r="Z6" s="3"/>
      <c r="AA6" s="3"/>
      <c r="AB6" s="3"/>
      <c r="AC6" s="3"/>
      <c r="AD6" s="3"/>
      <c r="AE6" s="3"/>
      <c r="AF6" s="3"/>
      <c r="AG6" s="3"/>
      <c r="AH6" s="3"/>
    </row>
    <row r="7" spans="1:34" ht="22.5" customHeight="1">
      <c r="A7" s="3"/>
      <c r="B7" s="107"/>
      <c r="C7" s="25" t="s">
        <v>7</v>
      </c>
      <c r="D7" s="16"/>
      <c r="E7" s="258" t="str">
        <f>IF(Übersicht!E7&lt;&gt;"",Übersicht!E7,"")</f>
        <v>Hiwi</v>
      </c>
      <c r="F7" s="259"/>
      <c r="G7" s="259"/>
      <c r="H7" s="260"/>
      <c r="I7" s="16"/>
      <c r="J7" s="25" t="s">
        <v>74</v>
      </c>
      <c r="K7" s="16"/>
      <c r="M7" s="272">
        <f>Februar!K54</f>
        <v>0</v>
      </c>
      <c r="N7" s="285"/>
      <c r="O7" s="286"/>
      <c r="P7" s="23"/>
      <c r="Q7" s="156"/>
      <c r="R7" s="6" t="s">
        <v>81</v>
      </c>
      <c r="S7" s="211" t="b">
        <f>OR(IF(E7&gt;"",IF(MID(E7,LEN(E7)-1,2)="WE","WAHR",FALSE),FALSE),IF(E7&gt;"",IF(MID(E7,LEN(E7)-2,3)="WEF","WAHR",FALSE),FALSE))</f>
        <v>0</v>
      </c>
      <c r="V7" s="3"/>
      <c r="W7" s="3"/>
      <c r="X7" s="3"/>
      <c r="Y7" s="3"/>
      <c r="Z7" s="3"/>
      <c r="AA7" s="3"/>
      <c r="AB7" s="3"/>
      <c r="AC7" s="3"/>
      <c r="AD7" s="3"/>
      <c r="AE7" s="3"/>
      <c r="AF7" s="3"/>
      <c r="AG7" s="3"/>
      <c r="AH7" s="3"/>
    </row>
    <row r="8" spans="1:34" ht="22.5" customHeight="1">
      <c r="A8" s="3"/>
      <c r="B8" s="186"/>
      <c r="C8" s="187"/>
      <c r="D8" s="187"/>
      <c r="E8" s="187"/>
      <c r="F8" s="188"/>
      <c r="G8" s="189"/>
      <c r="H8" s="189"/>
      <c r="I8" s="189"/>
      <c r="J8" s="61"/>
      <c r="K8" s="61"/>
      <c r="L8" s="61"/>
      <c r="M8" s="61"/>
      <c r="N8" s="61"/>
      <c r="O8" s="61"/>
      <c r="P8" s="190"/>
      <c r="Q8" s="156"/>
      <c r="R8" s="6" t="s">
        <v>82</v>
      </c>
      <c r="S8" s="211" t="b">
        <f>IF(E7&gt;"",IF(MID(E7,LEN(E7)-2,3)="WEF","WAHR",FALSE),FALSE)</f>
        <v>0</v>
      </c>
      <c r="V8" s="3"/>
      <c r="W8" s="3"/>
      <c r="X8" s="3"/>
      <c r="Y8" s="3"/>
      <c r="Z8" s="3"/>
      <c r="AA8" s="3"/>
      <c r="AB8" s="3"/>
      <c r="AC8" s="3"/>
      <c r="AD8" s="3"/>
      <c r="AE8" s="3"/>
      <c r="AF8" s="3"/>
      <c r="AG8" s="3"/>
      <c r="AH8" s="3"/>
    </row>
    <row r="9" spans="1:34" ht="22.5" customHeight="1">
      <c r="A9" s="3"/>
      <c r="B9" s="107"/>
      <c r="C9" s="25" t="s">
        <v>73</v>
      </c>
      <c r="D9" s="16"/>
      <c r="E9" s="254" t="str">
        <f>IF(Übersicht!E11&lt;&gt;"",Übersicht!E11,"")</f>
        <v>Innogy Abwasser</v>
      </c>
      <c r="F9" s="255"/>
      <c r="G9" s="255"/>
      <c r="H9" s="255"/>
      <c r="I9" s="255"/>
      <c r="J9" s="255"/>
      <c r="K9" s="255"/>
      <c r="L9" s="255"/>
      <c r="M9" s="255"/>
      <c r="N9" s="255"/>
      <c r="O9" s="256"/>
      <c r="P9" s="23"/>
      <c r="Q9" s="156"/>
      <c r="R9" s="156"/>
      <c r="V9" s="3"/>
      <c r="W9" s="3"/>
      <c r="X9" s="3"/>
      <c r="Y9" s="3"/>
      <c r="Z9" s="3"/>
      <c r="AA9" s="3"/>
      <c r="AB9" s="3"/>
      <c r="AC9" s="3"/>
      <c r="AD9" s="3"/>
      <c r="AE9" s="3"/>
      <c r="AF9" s="3"/>
      <c r="AG9" s="3"/>
      <c r="AH9" s="3"/>
    </row>
    <row r="10" spans="1:34" ht="15">
      <c r="A10" s="3"/>
      <c r="B10" s="14"/>
      <c r="C10" s="25"/>
      <c r="D10" s="25"/>
      <c r="E10" s="25"/>
      <c r="F10" s="19"/>
      <c r="G10" s="26"/>
      <c r="H10" s="26"/>
      <c r="I10" s="26"/>
      <c r="P10" s="23"/>
      <c r="Q10" s="157"/>
      <c r="R10" s="157"/>
      <c r="S10" s="68"/>
      <c r="T10" s="68"/>
      <c r="U10" s="68"/>
      <c r="V10" s="3"/>
      <c r="W10" s="3"/>
      <c r="X10" s="3"/>
      <c r="Y10" s="3"/>
      <c r="Z10" s="3"/>
      <c r="AA10" s="3"/>
      <c r="AB10" s="3"/>
      <c r="AC10" s="3"/>
      <c r="AD10" s="3"/>
      <c r="AE10" s="3"/>
      <c r="AF10" s="3"/>
      <c r="AG10" s="3"/>
      <c r="AH10" s="3"/>
    </row>
    <row r="11" spans="1:34" ht="15" customHeight="1">
      <c r="A11" s="3"/>
      <c r="B11" s="112"/>
      <c r="C11" s="113"/>
      <c r="D11" s="114"/>
      <c r="E11" s="114"/>
      <c r="F11" s="115"/>
      <c r="G11" s="115"/>
      <c r="H11" s="116" t="s">
        <v>42</v>
      </c>
      <c r="I11" s="117" t="s">
        <v>12</v>
      </c>
      <c r="J11" s="118" t="s">
        <v>13</v>
      </c>
      <c r="K11" s="119" t="s">
        <v>14</v>
      </c>
      <c r="L11" s="117" t="s">
        <v>15</v>
      </c>
      <c r="M11" s="117" t="s">
        <v>16</v>
      </c>
      <c r="N11" s="120"/>
      <c r="O11" s="150"/>
      <c r="P11" s="23"/>
      <c r="Q11" s="156"/>
      <c r="R11" s="156"/>
      <c r="V11" s="3"/>
      <c r="W11" s="3"/>
      <c r="X11" s="3"/>
      <c r="Y11" s="3"/>
      <c r="Z11" s="3"/>
      <c r="AA11" s="3"/>
      <c r="AB11" s="3"/>
      <c r="AC11" s="3"/>
      <c r="AD11" s="3"/>
      <c r="AE11" s="3"/>
      <c r="AF11" s="3"/>
      <c r="AG11" s="3"/>
      <c r="AH11" s="3"/>
    </row>
    <row r="12" spans="1:34" ht="22.5" customHeight="1">
      <c r="A12" s="3"/>
      <c r="B12" s="112"/>
      <c r="C12" s="14" t="s">
        <v>30</v>
      </c>
      <c r="D12" s="21"/>
      <c r="E12" s="22"/>
      <c r="F12" s="152">
        <f>IF(Februar!F16&gt;0,Februar!F16,Februar!F12)</f>
        <v>0</v>
      </c>
      <c r="G12" s="92"/>
      <c r="H12" s="121" t="s">
        <v>43</v>
      </c>
      <c r="I12" s="122">
        <f>$F$12/5</f>
        <v>0</v>
      </c>
      <c r="J12" s="123">
        <f>$F$12/5</f>
        <v>0</v>
      </c>
      <c r="K12" s="123">
        <f>$F$12/5</f>
        <v>0</v>
      </c>
      <c r="L12" s="123">
        <f>$F$12/5</f>
        <v>0</v>
      </c>
      <c r="M12" s="124">
        <f>$F$12/5</f>
        <v>0</v>
      </c>
      <c r="N12" s="125" t="s">
        <v>45</v>
      </c>
      <c r="O12" s="150"/>
      <c r="P12" s="23"/>
      <c r="Q12" s="156"/>
      <c r="R12" s="156"/>
      <c r="V12" s="3"/>
      <c r="W12" s="3"/>
      <c r="X12" s="3"/>
      <c r="Y12" s="3"/>
      <c r="Z12" s="3"/>
      <c r="AA12" s="3"/>
      <c r="AB12" s="3"/>
      <c r="AC12" s="3"/>
      <c r="AD12" s="3"/>
      <c r="AE12" s="3"/>
      <c r="AF12" s="3"/>
      <c r="AG12" s="3"/>
      <c r="AH12" s="3"/>
    </row>
    <row r="13" spans="1:34" ht="22.5" customHeight="1">
      <c r="A13" s="3"/>
      <c r="B13" s="112"/>
      <c r="C13" s="126"/>
      <c r="D13" s="151"/>
      <c r="E13" s="151"/>
      <c r="F13" s="127"/>
      <c r="G13" s="127"/>
      <c r="H13" s="128" t="s">
        <v>44</v>
      </c>
      <c r="I13" s="108"/>
      <c r="J13" s="109"/>
      <c r="K13" s="109"/>
      <c r="L13" s="109"/>
      <c r="M13" s="110"/>
      <c r="N13" s="88">
        <f>SUM(I13:M13)</f>
        <v>0</v>
      </c>
      <c r="O13" s="150"/>
      <c r="P13" s="23"/>
      <c r="Q13" s="156"/>
      <c r="R13" s="156"/>
      <c r="V13" s="3"/>
      <c r="W13" s="3"/>
      <c r="X13" s="3"/>
      <c r="Y13" s="3"/>
      <c r="Z13" s="3"/>
      <c r="AA13" s="3"/>
      <c r="AB13" s="3"/>
      <c r="AC13" s="3"/>
      <c r="AD13" s="3"/>
      <c r="AE13" s="3"/>
      <c r="AF13" s="3"/>
      <c r="AG13" s="3"/>
      <c r="AH13" s="3"/>
    </row>
    <row r="14" spans="1:34" ht="18.75" customHeight="1">
      <c r="A14" s="3"/>
      <c r="B14" s="112"/>
      <c r="C14" s="149" t="s">
        <v>80</v>
      </c>
      <c r="D14" s="25"/>
      <c r="E14" s="27"/>
      <c r="F14" s="7"/>
      <c r="G14" s="7"/>
      <c r="O14" s="150"/>
      <c r="P14" s="23"/>
      <c r="Q14" s="156"/>
      <c r="R14" s="156"/>
      <c r="V14" s="3"/>
      <c r="W14" s="3"/>
      <c r="X14" s="3"/>
      <c r="Y14" s="3"/>
      <c r="Z14" s="3"/>
      <c r="AA14" s="3"/>
      <c r="AB14" s="3"/>
      <c r="AC14" s="3"/>
      <c r="AD14" s="3"/>
      <c r="AE14" s="3"/>
      <c r="AF14" s="3"/>
      <c r="AG14" s="3"/>
      <c r="AH14" s="3"/>
    </row>
    <row r="15" spans="1:34" ht="15" customHeight="1">
      <c r="A15" s="3"/>
      <c r="B15" s="112"/>
      <c r="C15" s="111"/>
      <c r="D15" s="129"/>
      <c r="E15" s="130"/>
      <c r="F15" s="130"/>
      <c r="G15" s="131"/>
      <c r="H15" s="132" t="s">
        <v>49</v>
      </c>
      <c r="I15" s="133" t="s">
        <v>12</v>
      </c>
      <c r="J15" s="134" t="s">
        <v>13</v>
      </c>
      <c r="K15" s="135" t="s">
        <v>14</v>
      </c>
      <c r="L15" s="133" t="s">
        <v>15</v>
      </c>
      <c r="M15" s="133" t="s">
        <v>16</v>
      </c>
      <c r="N15" s="136"/>
      <c r="O15" s="150"/>
      <c r="P15" s="23"/>
      <c r="Q15" s="156"/>
      <c r="R15" s="156"/>
      <c r="V15" s="3"/>
      <c r="W15" s="3"/>
      <c r="X15" s="3"/>
      <c r="Y15" s="3"/>
      <c r="Z15" s="3"/>
      <c r="AA15" s="3"/>
      <c r="AB15" s="3"/>
      <c r="AC15" s="3"/>
      <c r="AD15" s="3"/>
      <c r="AE15" s="3"/>
      <c r="AF15" s="3"/>
      <c r="AG15" s="3"/>
      <c r="AH15" s="3"/>
    </row>
    <row r="16" spans="1:34" ht="23.25" customHeight="1">
      <c r="A16" s="3"/>
      <c r="B16" s="112"/>
      <c r="C16" s="147" t="s">
        <v>48</v>
      </c>
      <c r="D16" s="148"/>
      <c r="E16" s="148"/>
      <c r="F16" s="152"/>
      <c r="G16" s="137"/>
      <c r="H16" s="138" t="s">
        <v>43</v>
      </c>
      <c r="I16" s="139">
        <f>$F$16/5</f>
        <v>0</v>
      </c>
      <c r="J16" s="140">
        <f>$F$16/5</f>
        <v>0</v>
      </c>
      <c r="K16" s="140">
        <f>$F$16/5</f>
        <v>0</v>
      </c>
      <c r="L16" s="140">
        <f>$F$16/5</f>
        <v>0</v>
      </c>
      <c r="M16" s="141">
        <f>$F$16/5</f>
        <v>0</v>
      </c>
      <c r="N16" s="142" t="s">
        <v>45</v>
      </c>
      <c r="O16" s="150"/>
      <c r="P16" s="23"/>
      <c r="Q16" s="156"/>
      <c r="R16" s="156"/>
      <c r="V16" s="3"/>
      <c r="W16" s="3"/>
      <c r="X16" s="3"/>
      <c r="Y16" s="3"/>
      <c r="Z16" s="3"/>
      <c r="AA16" s="3"/>
      <c r="AB16" s="3"/>
      <c r="AC16" s="3"/>
      <c r="AD16" s="3"/>
      <c r="AE16" s="3"/>
      <c r="AF16" s="3"/>
      <c r="AG16" s="3"/>
      <c r="AH16" s="3"/>
    </row>
    <row r="17" spans="1:252" ht="22.5" customHeight="1">
      <c r="A17" s="3"/>
      <c r="B17" s="112"/>
      <c r="C17" s="143" t="s">
        <v>47</v>
      </c>
      <c r="D17" s="144"/>
      <c r="E17" s="279"/>
      <c r="F17" s="279"/>
      <c r="G17" s="153" t="b">
        <f>IF($E$17&lt;&gt;0,TRUE(),FALSE())</f>
        <v>0</v>
      </c>
      <c r="H17" s="145" t="s">
        <v>44</v>
      </c>
      <c r="I17" s="108"/>
      <c r="J17" s="109"/>
      <c r="K17" s="109"/>
      <c r="L17" s="109"/>
      <c r="M17" s="110"/>
      <c r="N17" s="146">
        <f>SUM(I17:M17)</f>
        <v>0</v>
      </c>
      <c r="O17" s="150"/>
      <c r="P17" s="23"/>
      <c r="Q17" s="156"/>
      <c r="R17" s="156"/>
      <c r="V17" s="3"/>
      <c r="W17" s="3"/>
      <c r="X17" s="3"/>
      <c r="Y17" s="3"/>
      <c r="Z17" s="3"/>
      <c r="AA17" s="3"/>
      <c r="AB17" s="3"/>
      <c r="AC17" s="3"/>
      <c r="AD17" s="3"/>
      <c r="AE17" s="3"/>
      <c r="AF17" s="3"/>
      <c r="AG17" s="3"/>
      <c r="AH17" s="3"/>
    </row>
    <row r="18" spans="1:252" ht="15">
      <c r="A18" s="3"/>
      <c r="B18" s="85"/>
      <c r="C18" s="86"/>
      <c r="D18" s="87"/>
      <c r="E18" s="87"/>
      <c r="F18" s="87"/>
      <c r="G18" s="87"/>
      <c r="H18" s="87"/>
      <c r="I18" s="87"/>
      <c r="J18" s="87"/>
      <c r="K18" s="9"/>
      <c r="L18" s="9"/>
      <c r="M18" s="9"/>
      <c r="N18" s="9"/>
      <c r="O18" s="9"/>
      <c r="P18" s="28"/>
      <c r="Q18" s="156"/>
      <c r="R18" s="156"/>
      <c r="V18" s="3"/>
      <c r="W18" s="3"/>
      <c r="X18" s="3"/>
      <c r="Y18" s="3"/>
      <c r="Z18" s="3"/>
      <c r="AA18" s="3"/>
      <c r="AB18" s="3"/>
      <c r="AC18" s="3"/>
      <c r="AD18" s="3"/>
      <c r="AE18" s="3"/>
      <c r="AF18" s="3"/>
      <c r="AG18" s="3"/>
      <c r="AH18" s="3"/>
    </row>
    <row r="19" spans="1:252" ht="15.75" thickBot="1">
      <c r="A19" s="29"/>
      <c r="B19" s="164"/>
      <c r="C19" s="68"/>
      <c r="D19" s="68"/>
      <c r="E19" s="68"/>
      <c r="F19" s="68"/>
      <c r="G19" s="68"/>
      <c r="H19" s="68"/>
      <c r="I19" s="68"/>
      <c r="J19" s="68"/>
      <c r="K19" s="68"/>
      <c r="L19" s="68"/>
      <c r="M19" s="68"/>
      <c r="N19" s="68"/>
      <c r="O19" s="68"/>
      <c r="P19" s="68"/>
      <c r="Q19" s="157"/>
      <c r="R19" s="157"/>
      <c r="S19" s="68"/>
      <c r="T19" s="68"/>
      <c r="U19" s="68"/>
    </row>
    <row r="20" spans="1:252" s="4" customFormat="1" ht="18.75" customHeight="1">
      <c r="A20" s="30"/>
      <c r="B20" s="202"/>
      <c r="C20" s="264" t="s">
        <v>29</v>
      </c>
      <c r="D20" s="265"/>
      <c r="E20" s="265"/>
      <c r="F20" s="266" t="s">
        <v>67</v>
      </c>
      <c r="G20" s="267"/>
      <c r="H20" s="268"/>
      <c r="I20" s="269" t="s">
        <v>25</v>
      </c>
      <c r="J20" s="269"/>
      <c r="K20" s="270"/>
      <c r="L20" s="271"/>
      <c r="M20" s="269"/>
      <c r="N20" s="269"/>
      <c r="O20" s="269"/>
      <c r="P20" s="270"/>
      <c r="Q20" s="158"/>
      <c r="R20" s="158"/>
      <c r="S20" s="70" t="s">
        <v>22</v>
      </c>
      <c r="T20" s="70" t="s">
        <v>23</v>
      </c>
      <c r="U20" s="70" t="s">
        <v>23</v>
      </c>
      <c r="V20" s="71" t="s">
        <v>24</v>
      </c>
      <c r="W20" s="71" t="s">
        <v>22</v>
      </c>
      <c r="X20" s="71" t="s">
        <v>22</v>
      </c>
      <c r="Y20" s="71"/>
      <c r="Z20" s="71"/>
      <c r="AA20" s="70"/>
      <c r="AB20" s="70"/>
      <c r="AC20" s="71"/>
      <c r="AD20" s="97"/>
      <c r="AE20" s="97"/>
      <c r="AF20" s="98"/>
      <c r="AG20" s="98"/>
      <c r="AH20" s="98"/>
    </row>
    <row r="21" spans="1:252" ht="18.75" customHeight="1">
      <c r="A21" s="31">
        <f>DATEVALUE(I2&amp;K2)</f>
        <v>42795</v>
      </c>
      <c r="B21" s="203" t="s">
        <v>0</v>
      </c>
      <c r="C21" s="1" t="s">
        <v>8</v>
      </c>
      <c r="D21" s="5"/>
      <c r="E21" s="204" t="s">
        <v>18</v>
      </c>
      <c r="F21" s="173" t="s">
        <v>1</v>
      </c>
      <c r="G21" s="174" t="s">
        <v>6</v>
      </c>
      <c r="H21" s="175" t="s">
        <v>2</v>
      </c>
      <c r="I21" s="204" t="s">
        <v>17</v>
      </c>
      <c r="J21" s="2" t="s">
        <v>21</v>
      </c>
      <c r="K21" s="204" t="s">
        <v>19</v>
      </c>
      <c r="L21" s="275" t="s">
        <v>71</v>
      </c>
      <c r="M21" s="276"/>
      <c r="N21" s="276"/>
      <c r="O21" s="276"/>
      <c r="P21" s="277"/>
      <c r="Q21" s="159"/>
      <c r="R21" s="159"/>
      <c r="S21" s="72" t="s">
        <v>11</v>
      </c>
      <c r="T21" s="72" t="s">
        <v>1</v>
      </c>
      <c r="U21" s="72" t="s">
        <v>6</v>
      </c>
      <c r="V21" s="73" t="s">
        <v>2</v>
      </c>
      <c r="W21" s="73" t="s">
        <v>20</v>
      </c>
      <c r="X21" s="74" t="s">
        <v>21</v>
      </c>
      <c r="Y21" s="73" t="s">
        <v>19</v>
      </c>
      <c r="Z21" s="75"/>
    </row>
    <row r="22" spans="1:252" ht="20.25" customHeight="1">
      <c r="A22" s="32" t="str">
        <f t="shared" ref="A22:A52" si="0">TEXT(B22,"TTTT")</f>
        <v>Mittwoch</v>
      </c>
      <c r="B22" s="33">
        <f>($A$21+ROW(B1)-1)*(MONTH($A$21+1)=MONTH($A$21))</f>
        <v>42795</v>
      </c>
      <c r="C22" s="185" t="str">
        <f>IF(OR(A22="Samstag",A22="Sonntag"),"",IF(COUNTIF(Übersicht!C$16:C$30,B22)&gt;0,"BA",""))</f>
        <v/>
      </c>
      <c r="D22" s="34"/>
      <c r="E22" s="172">
        <f>IF(OR(A22="Samstag",A22="Sonntag",C22="BA"),"",
IF(C22="SV",D22,
IF(OR($E$17="",B22&lt;$E$17),IF($N$13=0,HLOOKUP($A22,$I$11:$M$12,2,FALSE),IF($N$13=$F$12,HLOOKUP($A22,$I$11:$M$13,3,FALSE),"FEHLER")),
IF($N$17=0,HLOOKUP($A22,$I$15:$M$16,2,FALSE),IF($N$17=$F$16,HLOOKUP($A22,$I$15:$M$17,3,FALSE),"FEHLER")))))</f>
        <v>0</v>
      </c>
      <c r="F22" s="195"/>
      <c r="G22" s="196"/>
      <c r="H22" s="197"/>
      <c r="I22" s="38">
        <f t="shared" ref="I22:I52" si="1">IF(OR(C22="K",C22="U",C22="F"),E22,IF(C22="SU",IF(H22="",D22,((H22-F22)-G22)+D22),IF(AND(H22="",E22=""),0,((H22-F22)-G22)*24)))</f>
        <v>0</v>
      </c>
      <c r="J22" s="35">
        <f>IF(E22="Fehler",0,IF(E22="",I22,I22-E22))</f>
        <v>0</v>
      </c>
      <c r="K22" s="36">
        <f>M7+J22</f>
        <v>0</v>
      </c>
      <c r="L22" s="251"/>
      <c r="M22" s="252"/>
      <c r="N22" s="252"/>
      <c r="O22" s="252"/>
      <c r="P22" s="253"/>
      <c r="Q22" s="89"/>
      <c r="R22" s="165"/>
      <c r="S22" s="76"/>
      <c r="T22" s="76"/>
      <c r="U22" s="76"/>
      <c r="V22" s="76"/>
      <c r="W22" s="76"/>
      <c r="X22" s="76"/>
      <c r="Y22" s="76"/>
      <c r="Z22" s="76"/>
      <c r="AB22" s="166"/>
      <c r="AE22" s="99"/>
    </row>
    <row r="23" spans="1:252" s="96" customFormat="1" ht="20.25" customHeight="1">
      <c r="A23" s="32" t="str">
        <f t="shared" si="0"/>
        <v>Donnerstag</v>
      </c>
      <c r="B23" s="37">
        <f t="shared" ref="B23:B52" si="2">($A$21+ROW(B2)-1)*(MONTH(B22+1)=MONTH($A$21))</f>
        <v>42796</v>
      </c>
      <c r="C23" s="185" t="str">
        <f>IF(OR(A23="Samstag",A23="Sonntag"),"",IF(COUNTIF(Übersicht!C$16:C$30,B23)&gt;0,"BA",""))</f>
        <v/>
      </c>
      <c r="D23" s="38"/>
      <c r="E23" s="172">
        <f>IF(OR(A23="Samstag",A23="Sonntag",C23="BA"),"",
IF(C23="SV",D23,
IF(OR($E$17="",B23&lt;$E$17),IF($N$13=0,HLOOKUP($A23,$I$11:$M$12,2,FALSE),IF($N$13=$F$12,HLOOKUP($A23,$I$11:$M$13,3,FALSE),"FEHLER")),
IF($N$17=0,HLOOKUP($A23,$I$15:$M$16,2,FALSE),IF($N$17=$F$16,HLOOKUP($A23,$I$15:$M$17,3,FALSE),"FEHLER")))))</f>
        <v>0</v>
      </c>
      <c r="F23" s="176"/>
      <c r="G23" s="177"/>
      <c r="H23" s="178"/>
      <c r="I23" s="38">
        <f t="shared" si="1"/>
        <v>0</v>
      </c>
      <c r="J23" s="35">
        <f t="shared" ref="J23:J52" si="3">IF(E23="Fehler",0,IF(E23="",I23,I23-E23))</f>
        <v>0</v>
      </c>
      <c r="K23" s="36">
        <f>SUM(K22,J23)</f>
        <v>0</v>
      </c>
      <c r="L23" s="251"/>
      <c r="M23" s="252"/>
      <c r="N23" s="252"/>
      <c r="O23" s="252"/>
      <c r="P23" s="253"/>
      <c r="Q23" s="89"/>
      <c r="R23" s="165"/>
      <c r="S23" s="76"/>
      <c r="T23" s="76"/>
      <c r="U23" s="76"/>
      <c r="V23" s="76"/>
      <c r="W23" s="76"/>
      <c r="X23" s="76"/>
      <c r="Y23" s="76"/>
      <c r="Z23" s="76"/>
      <c r="AA23" s="68"/>
      <c r="AB23" s="166"/>
      <c r="AC23" s="6"/>
      <c r="AD23" s="95"/>
      <c r="AE23" s="99"/>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row>
    <row r="24" spans="1:252" s="96" customFormat="1" ht="20.25" customHeight="1">
      <c r="A24" s="32" t="str">
        <f t="shared" si="0"/>
        <v>Freitag</v>
      </c>
      <c r="B24" s="37">
        <f t="shared" si="2"/>
        <v>42797</v>
      </c>
      <c r="C24" s="185" t="str">
        <f>IF(OR(A24="Samstag",A24="Sonntag"),"",IF(COUNTIF(Übersicht!C$16:C$30,B24)&gt;0,"BA",""))</f>
        <v/>
      </c>
      <c r="D24" s="38"/>
      <c r="E24" s="172">
        <f t="shared" ref="E24:E52" si="4">IF(OR(A24="Samstag",A24="Sonntag",C24="BA"),"",
IF(C24="SV",D24,
IF(OR($E$17="",B24&lt;$E$17),IF($N$13=0,HLOOKUP($A24,$I$11:$M$12,2,FALSE),IF($N$13=$F$12,HLOOKUP($A24,$I$11:$M$13,3,FALSE),"FEHLER")),
IF($N$17=0,HLOOKUP($A24,$I$15:$M$16,2,FALSE),IF($N$17=$F$16,HLOOKUP($A24,$I$15:$M$17,3,FALSE),"FEHLER")))))</f>
        <v>0</v>
      </c>
      <c r="F24" s="176"/>
      <c r="G24" s="177"/>
      <c r="H24" s="178"/>
      <c r="I24" s="38">
        <f t="shared" si="1"/>
        <v>0</v>
      </c>
      <c r="J24" s="35">
        <f t="shared" si="3"/>
        <v>0</v>
      </c>
      <c r="K24" s="36">
        <f t="shared" ref="K24:K52" si="5">SUM(K23,J24)</f>
        <v>0</v>
      </c>
      <c r="L24" s="251"/>
      <c r="M24" s="252"/>
      <c r="N24" s="252"/>
      <c r="O24" s="252"/>
      <c r="P24" s="253"/>
      <c r="Q24" s="89"/>
      <c r="R24" s="165"/>
      <c r="S24" s="76"/>
      <c r="T24" s="76"/>
      <c r="U24" s="76"/>
      <c r="V24" s="76"/>
      <c r="W24" s="76"/>
      <c r="X24" s="76"/>
      <c r="Y24" s="76"/>
      <c r="Z24" s="76"/>
      <c r="AA24" s="68"/>
      <c r="AB24" s="166"/>
      <c r="AC24" s="6"/>
      <c r="AD24" s="95"/>
      <c r="AE24" s="99"/>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row>
    <row r="25" spans="1:252" s="96" customFormat="1" ht="20.25" customHeight="1">
      <c r="A25" s="32" t="str">
        <f t="shared" si="0"/>
        <v>Samstag</v>
      </c>
      <c r="B25" s="37">
        <f t="shared" si="2"/>
        <v>42798</v>
      </c>
      <c r="C25" s="185" t="str">
        <f>IF(OR(A25="Samstag",A25="Sonntag"),"",IF(COUNTIF(Übersicht!C$16:C$30,B25)&gt;0,"BA",""))</f>
        <v/>
      </c>
      <c r="D25" s="38"/>
      <c r="E25" s="172" t="str">
        <f t="shared" si="4"/>
        <v/>
      </c>
      <c r="F25" s="176"/>
      <c r="G25" s="177"/>
      <c r="H25" s="178"/>
      <c r="I25" s="38">
        <f t="shared" si="1"/>
        <v>0</v>
      </c>
      <c r="J25" s="35">
        <f t="shared" si="3"/>
        <v>0</v>
      </c>
      <c r="K25" s="36">
        <f t="shared" si="5"/>
        <v>0</v>
      </c>
      <c r="L25" s="251"/>
      <c r="M25" s="252"/>
      <c r="N25" s="252"/>
      <c r="O25" s="252"/>
      <c r="P25" s="253"/>
      <c r="Q25" s="89"/>
      <c r="R25" s="165"/>
      <c r="S25" s="76"/>
      <c r="T25" s="76"/>
      <c r="U25" s="76"/>
      <c r="V25" s="76"/>
      <c r="W25" s="76"/>
      <c r="X25" s="76"/>
      <c r="Y25" s="76"/>
      <c r="Z25" s="76"/>
      <c r="AA25" s="68"/>
      <c r="AB25" s="166"/>
      <c r="AC25" s="6"/>
      <c r="AD25" s="95"/>
      <c r="AE25" s="99"/>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row>
    <row r="26" spans="1:252" s="96" customFormat="1" ht="20.25" customHeight="1">
      <c r="A26" s="32" t="str">
        <f t="shared" si="0"/>
        <v>Sonntag</v>
      </c>
      <c r="B26" s="37">
        <f t="shared" si="2"/>
        <v>42799</v>
      </c>
      <c r="C26" s="185" t="str">
        <f>IF(OR(A26="Samstag",A26="Sonntag"),"",IF(COUNTIF(Übersicht!C$16:C$30,B26)&gt;0,"BA",""))</f>
        <v/>
      </c>
      <c r="D26" s="38"/>
      <c r="E26" s="172" t="str">
        <f t="shared" si="4"/>
        <v/>
      </c>
      <c r="F26" s="176"/>
      <c r="G26" s="177"/>
      <c r="H26" s="178"/>
      <c r="I26" s="38">
        <f t="shared" si="1"/>
        <v>0</v>
      </c>
      <c r="J26" s="35">
        <f t="shared" si="3"/>
        <v>0</v>
      </c>
      <c r="K26" s="36">
        <f t="shared" si="5"/>
        <v>0</v>
      </c>
      <c r="L26" s="251"/>
      <c r="M26" s="252"/>
      <c r="N26" s="252"/>
      <c r="O26" s="252"/>
      <c r="P26" s="253"/>
      <c r="Q26" s="89"/>
      <c r="R26" s="165"/>
      <c r="S26" s="76"/>
      <c r="T26" s="76"/>
      <c r="U26" s="76"/>
      <c r="V26" s="76"/>
      <c r="W26" s="76"/>
      <c r="X26" s="76"/>
      <c r="Y26" s="76"/>
      <c r="Z26" s="76"/>
      <c r="AA26" s="68"/>
      <c r="AB26" s="166"/>
      <c r="AC26" s="6"/>
      <c r="AD26" s="95"/>
      <c r="AE26" s="99"/>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row>
    <row r="27" spans="1:252" s="96" customFormat="1" ht="20.25" customHeight="1">
      <c r="A27" s="32" t="str">
        <f t="shared" si="0"/>
        <v>Montag</v>
      </c>
      <c r="B27" s="37">
        <f t="shared" si="2"/>
        <v>42800</v>
      </c>
      <c r="C27" s="185" t="str">
        <f>IF(OR(A27="Samstag",A27="Sonntag"),"",IF(COUNTIF(Übersicht!C$16:C$30,B27)&gt;0,"BA",""))</f>
        <v/>
      </c>
      <c r="D27" s="38"/>
      <c r="E27" s="172">
        <f t="shared" si="4"/>
        <v>0</v>
      </c>
      <c r="F27" s="176"/>
      <c r="G27" s="177"/>
      <c r="H27" s="178"/>
      <c r="I27" s="38">
        <f t="shared" si="1"/>
        <v>0</v>
      </c>
      <c r="J27" s="35">
        <f t="shared" si="3"/>
        <v>0</v>
      </c>
      <c r="K27" s="36">
        <f>SUM(K26,J27)</f>
        <v>0</v>
      </c>
      <c r="L27" s="251"/>
      <c r="M27" s="252"/>
      <c r="N27" s="252"/>
      <c r="O27" s="252"/>
      <c r="P27" s="253"/>
      <c r="Q27" s="89"/>
      <c r="R27" s="165"/>
      <c r="S27" s="76"/>
      <c r="T27" s="76"/>
      <c r="U27" s="76"/>
      <c r="V27" s="76"/>
      <c r="W27" s="76"/>
      <c r="X27" s="76"/>
      <c r="Y27" s="76"/>
      <c r="Z27" s="76"/>
      <c r="AA27" s="68"/>
      <c r="AB27" s="166"/>
      <c r="AC27" s="6"/>
      <c r="AD27" s="95"/>
      <c r="AE27" s="99"/>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row>
    <row r="28" spans="1:252" s="96" customFormat="1" ht="20.25" customHeight="1">
      <c r="A28" s="32" t="str">
        <f t="shared" si="0"/>
        <v>Dienstag</v>
      </c>
      <c r="B28" s="37">
        <f t="shared" si="2"/>
        <v>42801</v>
      </c>
      <c r="C28" s="185" t="str">
        <f>IF(OR(A28="Samstag",A28="Sonntag"),"",IF(COUNTIF(Übersicht!C$16:C$30,B28)&gt;0,"BA",""))</f>
        <v/>
      </c>
      <c r="D28" s="38"/>
      <c r="E28" s="172">
        <f t="shared" si="4"/>
        <v>0</v>
      </c>
      <c r="F28" s="176"/>
      <c r="G28" s="177"/>
      <c r="H28" s="178"/>
      <c r="I28" s="38">
        <f t="shared" si="1"/>
        <v>0</v>
      </c>
      <c r="J28" s="35">
        <f t="shared" si="3"/>
        <v>0</v>
      </c>
      <c r="K28" s="36">
        <f t="shared" si="5"/>
        <v>0</v>
      </c>
      <c r="L28" s="251"/>
      <c r="M28" s="252"/>
      <c r="N28" s="252"/>
      <c r="O28" s="252"/>
      <c r="P28" s="253"/>
      <c r="Q28" s="89"/>
      <c r="R28" s="165"/>
      <c r="S28" s="76"/>
      <c r="T28" s="76"/>
      <c r="U28" s="76"/>
      <c r="V28" s="76"/>
      <c r="W28" s="76"/>
      <c r="X28" s="76"/>
      <c r="Y28" s="76"/>
      <c r="Z28" s="76"/>
      <c r="AA28" s="68"/>
      <c r="AB28" s="166"/>
      <c r="AC28" s="6"/>
      <c r="AD28" s="95"/>
      <c r="AE28" s="99"/>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row>
    <row r="29" spans="1:252" s="96" customFormat="1" ht="20.25" customHeight="1">
      <c r="A29" s="32" t="str">
        <f t="shared" si="0"/>
        <v>Mittwoch</v>
      </c>
      <c r="B29" s="37">
        <f t="shared" si="2"/>
        <v>42802</v>
      </c>
      <c r="C29" s="185" t="str">
        <f>IF(OR(A29="Samstag",A29="Sonntag"),"",IF(COUNTIF(Übersicht!C$16:C$30,B29)&gt;0,"BA",""))</f>
        <v/>
      </c>
      <c r="D29" s="38"/>
      <c r="E29" s="172">
        <f t="shared" si="4"/>
        <v>0</v>
      </c>
      <c r="F29" s="176"/>
      <c r="G29" s="177"/>
      <c r="H29" s="178"/>
      <c r="I29" s="38">
        <f t="shared" si="1"/>
        <v>0</v>
      </c>
      <c r="J29" s="35">
        <f t="shared" si="3"/>
        <v>0</v>
      </c>
      <c r="K29" s="36">
        <f t="shared" si="5"/>
        <v>0</v>
      </c>
      <c r="L29" s="251"/>
      <c r="M29" s="252"/>
      <c r="N29" s="252"/>
      <c r="O29" s="252"/>
      <c r="P29" s="253"/>
      <c r="Q29" s="89"/>
      <c r="R29" s="165"/>
      <c r="S29" s="76"/>
      <c r="T29" s="76"/>
      <c r="U29" s="76"/>
      <c r="V29" s="76"/>
      <c r="W29" s="76"/>
      <c r="X29" s="76"/>
      <c r="Y29" s="76"/>
      <c r="Z29" s="76"/>
      <c r="AA29" s="68"/>
      <c r="AB29" s="166"/>
      <c r="AC29" s="6"/>
      <c r="AD29" s="95"/>
      <c r="AE29" s="99"/>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row>
    <row r="30" spans="1:252" s="96" customFormat="1" ht="20.25" customHeight="1">
      <c r="A30" s="32" t="str">
        <f t="shared" si="0"/>
        <v>Donnerstag</v>
      </c>
      <c r="B30" s="37">
        <f t="shared" si="2"/>
        <v>42803</v>
      </c>
      <c r="C30" s="185" t="str">
        <f>IF(OR(A30="Samstag",A30="Sonntag"),"",IF(COUNTIF(Übersicht!C$16:C$30,B30)&gt;0,"BA",""))</f>
        <v/>
      </c>
      <c r="D30" s="38"/>
      <c r="E30" s="172">
        <f t="shared" si="4"/>
        <v>0</v>
      </c>
      <c r="F30" s="176"/>
      <c r="G30" s="177"/>
      <c r="H30" s="178"/>
      <c r="I30" s="38">
        <f t="shared" si="1"/>
        <v>0</v>
      </c>
      <c r="J30" s="35">
        <f t="shared" si="3"/>
        <v>0</v>
      </c>
      <c r="K30" s="36">
        <f t="shared" si="5"/>
        <v>0</v>
      </c>
      <c r="L30" s="251"/>
      <c r="M30" s="252"/>
      <c r="N30" s="252"/>
      <c r="O30" s="252"/>
      <c r="P30" s="253"/>
      <c r="Q30" s="89"/>
      <c r="R30" s="165"/>
      <c r="S30" s="76"/>
      <c r="T30" s="76"/>
      <c r="U30" s="76"/>
      <c r="V30" s="76"/>
      <c r="W30" s="76"/>
      <c r="X30" s="76"/>
      <c r="Y30" s="76"/>
      <c r="Z30" s="76"/>
      <c r="AA30" s="68"/>
      <c r="AB30" s="166"/>
      <c r="AC30" s="6"/>
      <c r="AD30" s="95"/>
      <c r="AE30" s="99"/>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row>
    <row r="31" spans="1:252" s="96" customFormat="1" ht="20.25" customHeight="1">
      <c r="A31" s="32" t="str">
        <f t="shared" si="0"/>
        <v>Freitag</v>
      </c>
      <c r="B31" s="37">
        <f t="shared" si="2"/>
        <v>42804</v>
      </c>
      <c r="C31" s="185" t="str">
        <f>IF(OR(A31="Samstag",A31="Sonntag"),"",IF(COUNTIF(Übersicht!C$16:C$30,B31)&gt;0,"BA",""))</f>
        <v/>
      </c>
      <c r="D31" s="38"/>
      <c r="E31" s="172">
        <f t="shared" si="4"/>
        <v>0</v>
      </c>
      <c r="F31" s="176"/>
      <c r="G31" s="177"/>
      <c r="H31" s="178"/>
      <c r="I31" s="38">
        <f t="shared" si="1"/>
        <v>0</v>
      </c>
      <c r="J31" s="35">
        <f t="shared" si="3"/>
        <v>0</v>
      </c>
      <c r="K31" s="36">
        <f t="shared" si="5"/>
        <v>0</v>
      </c>
      <c r="L31" s="251"/>
      <c r="M31" s="252"/>
      <c r="N31" s="252"/>
      <c r="O31" s="252"/>
      <c r="P31" s="253"/>
      <c r="Q31" s="89"/>
      <c r="R31" s="165"/>
      <c r="S31" s="76"/>
      <c r="T31" s="76"/>
      <c r="U31" s="76"/>
      <c r="V31" s="76"/>
      <c r="W31" s="76"/>
      <c r="X31" s="76"/>
      <c r="Y31" s="76"/>
      <c r="Z31" s="76"/>
      <c r="AA31" s="68"/>
      <c r="AB31" s="166"/>
      <c r="AC31" s="6"/>
      <c r="AD31" s="95"/>
      <c r="AE31" s="99"/>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row>
    <row r="32" spans="1:252" s="96" customFormat="1" ht="20.25" customHeight="1">
      <c r="A32" s="32" t="str">
        <f t="shared" si="0"/>
        <v>Samstag</v>
      </c>
      <c r="B32" s="37">
        <f t="shared" si="2"/>
        <v>42805</v>
      </c>
      <c r="C32" s="185" t="str">
        <f>IF(OR(A32="Samstag",A32="Sonntag"),"",IF(COUNTIF(Übersicht!C$16:C$30,B32)&gt;0,"BA",""))</f>
        <v/>
      </c>
      <c r="D32" s="38"/>
      <c r="E32" s="172" t="str">
        <f t="shared" si="4"/>
        <v/>
      </c>
      <c r="F32" s="176"/>
      <c r="G32" s="177"/>
      <c r="H32" s="178"/>
      <c r="I32" s="38">
        <f t="shared" si="1"/>
        <v>0</v>
      </c>
      <c r="J32" s="35">
        <f t="shared" si="3"/>
        <v>0</v>
      </c>
      <c r="K32" s="36">
        <f t="shared" si="5"/>
        <v>0</v>
      </c>
      <c r="L32" s="251"/>
      <c r="M32" s="252"/>
      <c r="N32" s="252"/>
      <c r="O32" s="252"/>
      <c r="P32" s="253"/>
      <c r="Q32" s="89"/>
      <c r="R32" s="165"/>
      <c r="S32" s="76"/>
      <c r="T32" s="76"/>
      <c r="U32" s="76"/>
      <c r="V32" s="76"/>
      <c r="W32" s="76"/>
      <c r="X32" s="76"/>
      <c r="Y32" s="76"/>
      <c r="Z32" s="76"/>
      <c r="AA32" s="68"/>
      <c r="AB32" s="166"/>
      <c r="AC32" s="6"/>
      <c r="AD32" s="95"/>
      <c r="AE32" s="99"/>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row>
    <row r="33" spans="1:252" s="96" customFormat="1" ht="20.25" customHeight="1">
      <c r="A33" s="32" t="str">
        <f t="shared" si="0"/>
        <v>Sonntag</v>
      </c>
      <c r="B33" s="37">
        <f t="shared" si="2"/>
        <v>42806</v>
      </c>
      <c r="C33" s="185" t="str">
        <f>IF(OR(A33="Samstag",A33="Sonntag"),"",IF(COUNTIF(Übersicht!C$16:C$30,B33)&gt;0,"BA",""))</f>
        <v/>
      </c>
      <c r="D33" s="38"/>
      <c r="E33" s="172" t="str">
        <f t="shared" si="4"/>
        <v/>
      </c>
      <c r="F33" s="176"/>
      <c r="G33" s="177"/>
      <c r="H33" s="178"/>
      <c r="I33" s="38">
        <f t="shared" si="1"/>
        <v>0</v>
      </c>
      <c r="J33" s="35">
        <f t="shared" si="3"/>
        <v>0</v>
      </c>
      <c r="K33" s="36">
        <f t="shared" si="5"/>
        <v>0</v>
      </c>
      <c r="L33" s="251"/>
      <c r="M33" s="252"/>
      <c r="N33" s="252"/>
      <c r="O33" s="252"/>
      <c r="P33" s="253"/>
      <c r="Q33" s="89"/>
      <c r="R33" s="165"/>
      <c r="S33" s="76"/>
      <c r="T33" s="76"/>
      <c r="U33" s="76"/>
      <c r="V33" s="76"/>
      <c r="W33" s="76"/>
      <c r="X33" s="76"/>
      <c r="Y33" s="76"/>
      <c r="Z33" s="76"/>
      <c r="AA33" s="68"/>
      <c r="AB33" s="166"/>
      <c r="AC33" s="6"/>
      <c r="AD33" s="95"/>
      <c r="AE33" s="99"/>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row>
    <row r="34" spans="1:252" s="96" customFormat="1" ht="20.25" customHeight="1">
      <c r="A34" s="32" t="str">
        <f t="shared" si="0"/>
        <v>Montag</v>
      </c>
      <c r="B34" s="37">
        <f t="shared" si="2"/>
        <v>42807</v>
      </c>
      <c r="C34" s="185" t="str">
        <f>IF(OR(A34="Samstag",A34="Sonntag"),"",IF(COUNTIF(Übersicht!C$16:C$30,B34)&gt;0,"BA",""))</f>
        <v/>
      </c>
      <c r="D34" s="38"/>
      <c r="E34" s="172">
        <f t="shared" si="4"/>
        <v>0</v>
      </c>
      <c r="F34" s="176"/>
      <c r="G34" s="177"/>
      <c r="H34" s="178"/>
      <c r="I34" s="38">
        <f t="shared" si="1"/>
        <v>0</v>
      </c>
      <c r="J34" s="35">
        <f t="shared" si="3"/>
        <v>0</v>
      </c>
      <c r="K34" s="36">
        <f t="shared" si="5"/>
        <v>0</v>
      </c>
      <c r="L34" s="251"/>
      <c r="M34" s="252"/>
      <c r="N34" s="252"/>
      <c r="O34" s="252"/>
      <c r="P34" s="253"/>
      <c r="Q34" s="89"/>
      <c r="R34" s="165"/>
      <c r="S34" s="76"/>
      <c r="T34" s="76"/>
      <c r="U34" s="76"/>
      <c r="V34" s="76"/>
      <c r="W34" s="76"/>
      <c r="X34" s="76"/>
      <c r="Y34" s="76"/>
      <c r="Z34" s="76"/>
      <c r="AA34" s="68"/>
      <c r="AB34" s="166"/>
      <c r="AC34" s="6"/>
      <c r="AD34" s="95"/>
      <c r="AE34" s="99"/>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row>
    <row r="35" spans="1:252" s="96" customFormat="1" ht="20.25" customHeight="1">
      <c r="A35" s="32" t="str">
        <f t="shared" si="0"/>
        <v>Dienstag</v>
      </c>
      <c r="B35" s="37">
        <f t="shared" si="2"/>
        <v>42808</v>
      </c>
      <c r="C35" s="185" t="str">
        <f>IF(OR(A35="Samstag",A35="Sonntag"),"",IF(COUNTIF(Übersicht!C$16:C$30,B35)&gt;0,"BA",""))</f>
        <v/>
      </c>
      <c r="D35" s="38"/>
      <c r="E35" s="172">
        <f t="shared" si="4"/>
        <v>0</v>
      </c>
      <c r="F35" s="176"/>
      <c r="G35" s="177"/>
      <c r="H35" s="178"/>
      <c r="I35" s="38">
        <f t="shared" si="1"/>
        <v>0</v>
      </c>
      <c r="J35" s="35">
        <f t="shared" si="3"/>
        <v>0</v>
      </c>
      <c r="K35" s="36">
        <f t="shared" si="5"/>
        <v>0</v>
      </c>
      <c r="L35" s="251"/>
      <c r="M35" s="252"/>
      <c r="N35" s="252"/>
      <c r="O35" s="252"/>
      <c r="P35" s="253"/>
      <c r="Q35" s="89"/>
      <c r="R35" s="165"/>
      <c r="S35" s="76"/>
      <c r="T35" s="76"/>
      <c r="U35" s="76"/>
      <c r="V35" s="76"/>
      <c r="W35" s="76"/>
      <c r="X35" s="76"/>
      <c r="Y35" s="76"/>
      <c r="Z35" s="76"/>
      <c r="AA35" s="68"/>
      <c r="AB35" s="166"/>
      <c r="AC35" s="6"/>
      <c r="AD35" s="95"/>
      <c r="AE35" s="99"/>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row>
    <row r="36" spans="1:252" s="96" customFormat="1" ht="20.25" customHeight="1">
      <c r="A36" s="32" t="str">
        <f t="shared" si="0"/>
        <v>Mittwoch</v>
      </c>
      <c r="B36" s="37">
        <f t="shared" si="2"/>
        <v>42809</v>
      </c>
      <c r="C36" s="185" t="str">
        <f>IF(OR(A36="Samstag",A36="Sonntag"),"",IF(COUNTIF(Übersicht!C$16:C$30,B36)&gt;0,"BA",""))</f>
        <v/>
      </c>
      <c r="D36" s="38"/>
      <c r="E36" s="172">
        <f t="shared" si="4"/>
        <v>0</v>
      </c>
      <c r="F36" s="176"/>
      <c r="G36" s="177"/>
      <c r="H36" s="178"/>
      <c r="I36" s="38">
        <f t="shared" si="1"/>
        <v>0</v>
      </c>
      <c r="J36" s="35">
        <f t="shared" si="3"/>
        <v>0</v>
      </c>
      <c r="K36" s="36">
        <f t="shared" si="5"/>
        <v>0</v>
      </c>
      <c r="L36" s="251"/>
      <c r="M36" s="252"/>
      <c r="N36" s="252"/>
      <c r="O36" s="252"/>
      <c r="P36" s="253"/>
      <c r="Q36" s="89"/>
      <c r="R36" s="165"/>
      <c r="S36" s="76"/>
      <c r="T36" s="76"/>
      <c r="U36" s="76"/>
      <c r="V36" s="76"/>
      <c r="W36" s="76"/>
      <c r="X36" s="76"/>
      <c r="Y36" s="76"/>
      <c r="Z36" s="76"/>
      <c r="AA36" s="68"/>
      <c r="AB36" s="166"/>
      <c r="AC36" s="6"/>
      <c r="AD36" s="95"/>
      <c r="AE36" s="99"/>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row>
    <row r="37" spans="1:252" s="96" customFormat="1" ht="20.25" customHeight="1">
      <c r="A37" s="32" t="str">
        <f t="shared" si="0"/>
        <v>Donnerstag</v>
      </c>
      <c r="B37" s="37">
        <f t="shared" si="2"/>
        <v>42810</v>
      </c>
      <c r="C37" s="185" t="str">
        <f>IF(OR(A37="Samstag",A37="Sonntag"),"",IF(COUNTIF(Übersicht!C$16:C$30,B37)&gt;0,"BA",""))</f>
        <v/>
      </c>
      <c r="D37" s="38"/>
      <c r="E37" s="172">
        <f t="shared" si="4"/>
        <v>0</v>
      </c>
      <c r="F37" s="176"/>
      <c r="G37" s="177"/>
      <c r="H37" s="178"/>
      <c r="I37" s="38">
        <f t="shared" si="1"/>
        <v>0</v>
      </c>
      <c r="J37" s="35">
        <f t="shared" si="3"/>
        <v>0</v>
      </c>
      <c r="K37" s="36">
        <f t="shared" si="5"/>
        <v>0</v>
      </c>
      <c r="L37" s="251"/>
      <c r="M37" s="252"/>
      <c r="N37" s="252"/>
      <c r="O37" s="252"/>
      <c r="P37" s="253"/>
      <c r="Q37" s="89"/>
      <c r="R37" s="165"/>
      <c r="S37" s="76"/>
      <c r="T37" s="76"/>
      <c r="U37" s="76"/>
      <c r="V37" s="76"/>
      <c r="W37" s="76"/>
      <c r="X37" s="76"/>
      <c r="Y37" s="76"/>
      <c r="Z37" s="76"/>
      <c r="AA37" s="68"/>
      <c r="AB37" s="166"/>
      <c r="AC37" s="6"/>
      <c r="AD37" s="95"/>
      <c r="AE37" s="99"/>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row>
    <row r="38" spans="1:252" s="96" customFormat="1" ht="20.25" customHeight="1">
      <c r="A38" s="32" t="str">
        <f t="shared" si="0"/>
        <v>Freitag</v>
      </c>
      <c r="B38" s="37">
        <f t="shared" si="2"/>
        <v>42811</v>
      </c>
      <c r="C38" s="185" t="str">
        <f>IF(OR(A38="Samstag",A38="Sonntag"),"",IF(COUNTIF(Übersicht!C$16:C$30,B38)&gt;0,"BA",""))</f>
        <v/>
      </c>
      <c r="D38" s="38"/>
      <c r="E38" s="172">
        <f t="shared" si="4"/>
        <v>0</v>
      </c>
      <c r="F38" s="176"/>
      <c r="G38" s="177"/>
      <c r="H38" s="178"/>
      <c r="I38" s="38">
        <f t="shared" si="1"/>
        <v>0</v>
      </c>
      <c r="J38" s="35">
        <f t="shared" si="3"/>
        <v>0</v>
      </c>
      <c r="K38" s="36">
        <f t="shared" si="5"/>
        <v>0</v>
      </c>
      <c r="L38" s="251"/>
      <c r="M38" s="252"/>
      <c r="N38" s="252"/>
      <c r="O38" s="252"/>
      <c r="P38" s="253"/>
      <c r="Q38" s="89"/>
      <c r="R38" s="165"/>
      <c r="S38" s="76"/>
      <c r="T38" s="76"/>
      <c r="U38" s="76"/>
      <c r="V38" s="76"/>
      <c r="W38" s="76"/>
      <c r="X38" s="76"/>
      <c r="Y38" s="76"/>
      <c r="Z38" s="76"/>
      <c r="AA38" s="68"/>
      <c r="AB38" s="166"/>
      <c r="AC38" s="6"/>
      <c r="AD38" s="95"/>
      <c r="AE38" s="99"/>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row>
    <row r="39" spans="1:252" s="96" customFormat="1" ht="20.25" customHeight="1">
      <c r="A39" s="32" t="str">
        <f t="shared" si="0"/>
        <v>Samstag</v>
      </c>
      <c r="B39" s="37">
        <f t="shared" si="2"/>
        <v>42812</v>
      </c>
      <c r="C39" s="185" t="str">
        <f>IF(OR(A39="Samstag",A39="Sonntag"),"",IF(COUNTIF(Übersicht!C$16:C$30,B39)&gt;0,"BA",""))</f>
        <v/>
      </c>
      <c r="D39" s="38"/>
      <c r="E39" s="172" t="str">
        <f t="shared" si="4"/>
        <v/>
      </c>
      <c r="F39" s="176"/>
      <c r="G39" s="177"/>
      <c r="H39" s="178"/>
      <c r="I39" s="38">
        <f t="shared" si="1"/>
        <v>0</v>
      </c>
      <c r="J39" s="35">
        <f t="shared" si="3"/>
        <v>0</v>
      </c>
      <c r="K39" s="36">
        <f t="shared" si="5"/>
        <v>0</v>
      </c>
      <c r="L39" s="251"/>
      <c r="M39" s="252"/>
      <c r="N39" s="252"/>
      <c r="O39" s="252"/>
      <c r="P39" s="253"/>
      <c r="Q39" s="89"/>
      <c r="R39" s="165"/>
      <c r="S39" s="76"/>
      <c r="T39" s="76"/>
      <c r="U39" s="76"/>
      <c r="V39" s="76"/>
      <c r="W39" s="76"/>
      <c r="X39" s="76"/>
      <c r="Y39" s="76"/>
      <c r="Z39" s="76"/>
      <c r="AA39" s="68"/>
      <c r="AB39" s="166"/>
      <c r="AC39" s="6"/>
      <c r="AD39" s="95"/>
      <c r="AE39" s="99"/>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row>
    <row r="40" spans="1:252" s="96" customFormat="1" ht="20.25" customHeight="1">
      <c r="A40" s="32" t="str">
        <f t="shared" si="0"/>
        <v>Sonntag</v>
      </c>
      <c r="B40" s="37">
        <f t="shared" si="2"/>
        <v>42813</v>
      </c>
      <c r="C40" s="185" t="str">
        <f>IF(OR(A40="Samstag",A40="Sonntag"),"",IF(COUNTIF(Übersicht!C$16:C$30,B40)&gt;0,"BA",""))</f>
        <v/>
      </c>
      <c r="D40" s="38"/>
      <c r="E40" s="172" t="str">
        <f t="shared" si="4"/>
        <v/>
      </c>
      <c r="F40" s="176"/>
      <c r="G40" s="177"/>
      <c r="H40" s="178"/>
      <c r="I40" s="38">
        <f t="shared" si="1"/>
        <v>0</v>
      </c>
      <c r="J40" s="35">
        <f t="shared" si="3"/>
        <v>0</v>
      </c>
      <c r="K40" s="36">
        <f t="shared" si="5"/>
        <v>0</v>
      </c>
      <c r="L40" s="251"/>
      <c r="M40" s="252"/>
      <c r="N40" s="252"/>
      <c r="O40" s="252"/>
      <c r="P40" s="253"/>
      <c r="Q40" s="89"/>
      <c r="R40" s="165"/>
      <c r="S40" s="76"/>
      <c r="T40" s="76"/>
      <c r="U40" s="76"/>
      <c r="V40" s="76"/>
      <c r="W40" s="76"/>
      <c r="X40" s="76"/>
      <c r="Y40" s="76"/>
      <c r="Z40" s="76"/>
      <c r="AA40" s="68"/>
      <c r="AB40" s="166"/>
      <c r="AC40" s="6"/>
      <c r="AD40" s="95"/>
      <c r="AE40" s="99"/>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row>
    <row r="41" spans="1:252" s="96" customFormat="1" ht="20.25" customHeight="1">
      <c r="A41" s="32" t="str">
        <f t="shared" si="0"/>
        <v>Montag</v>
      </c>
      <c r="B41" s="37">
        <f t="shared" si="2"/>
        <v>42814</v>
      </c>
      <c r="C41" s="185" t="str">
        <f>IF(OR(A41="Samstag",A41="Sonntag"),"",IF(COUNTIF(Übersicht!C$16:C$30,B41)&gt;0,"BA",""))</f>
        <v/>
      </c>
      <c r="D41" s="38"/>
      <c r="E41" s="172">
        <f t="shared" si="4"/>
        <v>0</v>
      </c>
      <c r="F41" s="176"/>
      <c r="G41" s="177"/>
      <c r="H41" s="178"/>
      <c r="I41" s="38">
        <f t="shared" si="1"/>
        <v>0</v>
      </c>
      <c r="J41" s="35">
        <f t="shared" si="3"/>
        <v>0</v>
      </c>
      <c r="K41" s="36">
        <f t="shared" si="5"/>
        <v>0</v>
      </c>
      <c r="L41" s="251"/>
      <c r="M41" s="252"/>
      <c r="N41" s="252"/>
      <c r="O41" s="252"/>
      <c r="P41" s="253"/>
      <c r="Q41" s="89"/>
      <c r="R41" s="165"/>
      <c r="S41" s="76"/>
      <c r="T41" s="76"/>
      <c r="U41" s="76"/>
      <c r="V41" s="76"/>
      <c r="W41" s="76"/>
      <c r="X41" s="76"/>
      <c r="Y41" s="76"/>
      <c r="Z41" s="76"/>
      <c r="AA41" s="68"/>
      <c r="AB41" s="166"/>
      <c r="AC41" s="6"/>
      <c r="AD41" s="95"/>
      <c r="AE41" s="99"/>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row>
    <row r="42" spans="1:252" s="96" customFormat="1" ht="20.25" customHeight="1">
      <c r="A42" s="32" t="str">
        <f t="shared" si="0"/>
        <v>Dienstag</v>
      </c>
      <c r="B42" s="37">
        <f t="shared" si="2"/>
        <v>42815</v>
      </c>
      <c r="C42" s="185" t="str">
        <f>IF(OR(A42="Samstag",A42="Sonntag"),"",IF(COUNTIF(Übersicht!C$16:C$30,B42)&gt;0,"BA",""))</f>
        <v/>
      </c>
      <c r="D42" s="38"/>
      <c r="E42" s="172">
        <f t="shared" si="4"/>
        <v>0</v>
      </c>
      <c r="F42" s="176"/>
      <c r="G42" s="177"/>
      <c r="H42" s="178"/>
      <c r="I42" s="38">
        <f t="shared" si="1"/>
        <v>0</v>
      </c>
      <c r="J42" s="35">
        <f t="shared" si="3"/>
        <v>0</v>
      </c>
      <c r="K42" s="36">
        <f t="shared" si="5"/>
        <v>0</v>
      </c>
      <c r="L42" s="251"/>
      <c r="M42" s="252"/>
      <c r="N42" s="252"/>
      <c r="O42" s="252"/>
      <c r="P42" s="253"/>
      <c r="Q42" s="89"/>
      <c r="R42" s="165"/>
      <c r="S42" s="76"/>
      <c r="T42" s="76"/>
      <c r="U42" s="76"/>
      <c r="V42" s="76"/>
      <c r="W42" s="76"/>
      <c r="X42" s="76"/>
      <c r="Y42" s="76"/>
      <c r="Z42" s="76"/>
      <c r="AA42" s="68"/>
      <c r="AB42" s="166"/>
      <c r="AC42" s="6"/>
      <c r="AD42" s="95"/>
      <c r="AE42" s="99"/>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row>
    <row r="43" spans="1:252" s="96" customFormat="1" ht="20.25" customHeight="1">
      <c r="A43" s="32" t="str">
        <f t="shared" si="0"/>
        <v>Mittwoch</v>
      </c>
      <c r="B43" s="37">
        <f t="shared" si="2"/>
        <v>42816</v>
      </c>
      <c r="C43" s="185" t="str">
        <f>IF(OR(A43="Samstag",A43="Sonntag"),"",IF(COUNTIF(Übersicht!C$16:C$30,B43)&gt;0,"BA",""))</f>
        <v/>
      </c>
      <c r="D43" s="38"/>
      <c r="E43" s="172">
        <f t="shared" si="4"/>
        <v>0</v>
      </c>
      <c r="F43" s="176"/>
      <c r="G43" s="177"/>
      <c r="H43" s="178"/>
      <c r="I43" s="38">
        <f t="shared" si="1"/>
        <v>0</v>
      </c>
      <c r="J43" s="35">
        <f t="shared" si="3"/>
        <v>0</v>
      </c>
      <c r="K43" s="36">
        <f t="shared" si="5"/>
        <v>0</v>
      </c>
      <c r="L43" s="251"/>
      <c r="M43" s="252"/>
      <c r="N43" s="252"/>
      <c r="O43" s="252"/>
      <c r="P43" s="253"/>
      <c r="Q43" s="89"/>
      <c r="R43" s="165"/>
      <c r="S43" s="76"/>
      <c r="T43" s="76"/>
      <c r="U43" s="76"/>
      <c r="V43" s="76"/>
      <c r="W43" s="76"/>
      <c r="X43" s="76"/>
      <c r="Y43" s="76"/>
      <c r="Z43" s="76"/>
      <c r="AA43" s="68"/>
      <c r="AB43" s="166"/>
      <c r="AC43" s="6"/>
      <c r="AD43" s="95"/>
      <c r="AE43" s="99"/>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row>
    <row r="44" spans="1:252" s="96" customFormat="1" ht="20.25" customHeight="1">
      <c r="A44" s="32" t="str">
        <f t="shared" si="0"/>
        <v>Donnerstag</v>
      </c>
      <c r="B44" s="37">
        <f t="shared" si="2"/>
        <v>42817</v>
      </c>
      <c r="C44" s="185" t="str">
        <f>IF(OR(A44="Samstag",A44="Sonntag"),"",IF(COUNTIF(Übersicht!C$16:C$30,B44)&gt;0,"BA",""))</f>
        <v/>
      </c>
      <c r="D44" s="38"/>
      <c r="E44" s="172">
        <f t="shared" si="4"/>
        <v>0</v>
      </c>
      <c r="F44" s="176"/>
      <c r="G44" s="177"/>
      <c r="H44" s="178"/>
      <c r="I44" s="38">
        <f t="shared" si="1"/>
        <v>0</v>
      </c>
      <c r="J44" s="35">
        <f t="shared" si="3"/>
        <v>0</v>
      </c>
      <c r="K44" s="36">
        <f t="shared" si="5"/>
        <v>0</v>
      </c>
      <c r="L44" s="251"/>
      <c r="M44" s="252"/>
      <c r="N44" s="252"/>
      <c r="O44" s="252"/>
      <c r="P44" s="253"/>
      <c r="Q44" s="89"/>
      <c r="R44" s="165"/>
      <c r="S44" s="76"/>
      <c r="T44" s="76"/>
      <c r="U44" s="76"/>
      <c r="V44" s="76"/>
      <c r="W44" s="76"/>
      <c r="X44" s="76"/>
      <c r="Y44" s="76"/>
      <c r="Z44" s="76"/>
      <c r="AA44" s="68"/>
      <c r="AB44" s="166"/>
      <c r="AC44" s="6"/>
      <c r="AD44" s="95"/>
      <c r="AE44" s="99"/>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row>
    <row r="45" spans="1:252" s="96" customFormat="1" ht="20.25" customHeight="1">
      <c r="A45" s="32" t="str">
        <f t="shared" si="0"/>
        <v>Freitag</v>
      </c>
      <c r="B45" s="37">
        <f t="shared" si="2"/>
        <v>42818</v>
      </c>
      <c r="C45" s="185" t="str">
        <f>IF(OR(A45="Samstag",A45="Sonntag"),"",IF(COUNTIF(Übersicht!C$16:C$30,B45)&gt;0,"BA",""))</f>
        <v/>
      </c>
      <c r="D45" s="38"/>
      <c r="E45" s="172">
        <f t="shared" si="4"/>
        <v>0</v>
      </c>
      <c r="F45" s="176"/>
      <c r="G45" s="177"/>
      <c r="H45" s="178"/>
      <c r="I45" s="38">
        <f t="shared" si="1"/>
        <v>0</v>
      </c>
      <c r="J45" s="35">
        <f t="shared" si="3"/>
        <v>0</v>
      </c>
      <c r="K45" s="36">
        <f t="shared" si="5"/>
        <v>0</v>
      </c>
      <c r="L45" s="251"/>
      <c r="M45" s="252"/>
      <c r="N45" s="252"/>
      <c r="O45" s="252"/>
      <c r="P45" s="253"/>
      <c r="Q45" s="89"/>
      <c r="R45" s="165"/>
      <c r="S45" s="76"/>
      <c r="T45" s="76"/>
      <c r="U45" s="76"/>
      <c r="V45" s="76"/>
      <c r="W45" s="76"/>
      <c r="X45" s="76"/>
      <c r="Y45" s="76"/>
      <c r="Z45" s="76"/>
      <c r="AA45" s="68"/>
      <c r="AB45" s="166"/>
      <c r="AC45" s="6"/>
      <c r="AD45" s="95"/>
      <c r="AE45" s="99"/>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row>
    <row r="46" spans="1:252" s="96" customFormat="1" ht="20.25" customHeight="1">
      <c r="A46" s="32" t="str">
        <f t="shared" si="0"/>
        <v>Samstag</v>
      </c>
      <c r="B46" s="37">
        <f t="shared" si="2"/>
        <v>42819</v>
      </c>
      <c r="C46" s="185" t="str">
        <f>IF(OR(A46="Samstag",A46="Sonntag"),"",IF(COUNTIF(Übersicht!C$16:C$30,B46)&gt;0,"BA",""))</f>
        <v/>
      </c>
      <c r="D46" s="38"/>
      <c r="E46" s="172" t="str">
        <f t="shared" si="4"/>
        <v/>
      </c>
      <c r="F46" s="176"/>
      <c r="G46" s="177"/>
      <c r="H46" s="178"/>
      <c r="I46" s="38">
        <f t="shared" si="1"/>
        <v>0</v>
      </c>
      <c r="J46" s="35">
        <f t="shared" si="3"/>
        <v>0</v>
      </c>
      <c r="K46" s="36">
        <f t="shared" si="5"/>
        <v>0</v>
      </c>
      <c r="L46" s="251"/>
      <c r="M46" s="252"/>
      <c r="N46" s="252"/>
      <c r="O46" s="252"/>
      <c r="P46" s="253"/>
      <c r="Q46" s="89"/>
      <c r="R46" s="165"/>
      <c r="S46" s="76"/>
      <c r="T46" s="76"/>
      <c r="U46" s="76"/>
      <c r="V46" s="76"/>
      <c r="W46" s="76"/>
      <c r="X46" s="76"/>
      <c r="Y46" s="76"/>
      <c r="Z46" s="76"/>
      <c r="AA46" s="68"/>
      <c r="AB46" s="166"/>
      <c r="AC46" s="6"/>
      <c r="AD46" s="95"/>
      <c r="AE46" s="99"/>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row>
    <row r="47" spans="1:252" s="96" customFormat="1" ht="20.25" customHeight="1">
      <c r="A47" s="32" t="str">
        <f t="shared" si="0"/>
        <v>Sonntag</v>
      </c>
      <c r="B47" s="37">
        <f t="shared" si="2"/>
        <v>42820</v>
      </c>
      <c r="C47" s="185" t="str">
        <f>IF(OR(A47="Samstag",A47="Sonntag"),"",IF(COUNTIF(Übersicht!C$16:C$30,B47)&gt;0,"BA",""))</f>
        <v/>
      </c>
      <c r="D47" s="38"/>
      <c r="E47" s="172" t="str">
        <f t="shared" si="4"/>
        <v/>
      </c>
      <c r="F47" s="176"/>
      <c r="G47" s="177"/>
      <c r="H47" s="178"/>
      <c r="I47" s="38">
        <f t="shared" si="1"/>
        <v>0</v>
      </c>
      <c r="J47" s="35">
        <f t="shared" si="3"/>
        <v>0</v>
      </c>
      <c r="K47" s="36">
        <f t="shared" si="5"/>
        <v>0</v>
      </c>
      <c r="L47" s="251"/>
      <c r="M47" s="252"/>
      <c r="N47" s="252"/>
      <c r="O47" s="252"/>
      <c r="P47" s="253"/>
      <c r="Q47" s="89"/>
      <c r="R47" s="165"/>
      <c r="S47" s="76"/>
      <c r="T47" s="76"/>
      <c r="U47" s="76"/>
      <c r="V47" s="76"/>
      <c r="W47" s="76"/>
      <c r="X47" s="76"/>
      <c r="Y47" s="76"/>
      <c r="Z47" s="76"/>
      <c r="AA47" s="68"/>
      <c r="AB47" s="166"/>
      <c r="AC47" s="6"/>
      <c r="AD47" s="95"/>
      <c r="AE47" s="99"/>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row>
    <row r="48" spans="1:252" s="96" customFormat="1" ht="20.25" customHeight="1">
      <c r="A48" s="32" t="str">
        <f t="shared" si="0"/>
        <v>Montag</v>
      </c>
      <c r="B48" s="37">
        <f t="shared" si="2"/>
        <v>42821</v>
      </c>
      <c r="C48" s="185" t="str">
        <f>IF(OR(A48="Samstag",A48="Sonntag"),"",IF(COUNTIF(Übersicht!C$16:C$30,B48)&gt;0,"BA",""))</f>
        <v/>
      </c>
      <c r="D48" s="38"/>
      <c r="E48" s="172">
        <f t="shared" si="4"/>
        <v>0</v>
      </c>
      <c r="F48" s="176"/>
      <c r="G48" s="177"/>
      <c r="H48" s="178"/>
      <c r="I48" s="38">
        <f t="shared" si="1"/>
        <v>0</v>
      </c>
      <c r="J48" s="35">
        <f t="shared" si="3"/>
        <v>0</v>
      </c>
      <c r="K48" s="36">
        <f t="shared" si="5"/>
        <v>0</v>
      </c>
      <c r="L48" s="251"/>
      <c r="M48" s="252"/>
      <c r="N48" s="252"/>
      <c r="O48" s="252"/>
      <c r="P48" s="253"/>
      <c r="Q48" s="89"/>
      <c r="R48" s="165"/>
      <c r="S48" s="76"/>
      <c r="T48" s="76"/>
      <c r="U48" s="76"/>
      <c r="V48" s="76"/>
      <c r="W48" s="76"/>
      <c r="X48" s="76"/>
      <c r="Y48" s="76"/>
      <c r="Z48" s="76"/>
      <c r="AA48" s="68"/>
      <c r="AB48" s="166"/>
      <c r="AC48" s="6"/>
      <c r="AD48" s="95"/>
      <c r="AE48" s="99"/>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row>
    <row r="49" spans="1:252" s="96" customFormat="1" ht="20.25" customHeight="1">
      <c r="A49" s="32" t="str">
        <f t="shared" si="0"/>
        <v>Dienstag</v>
      </c>
      <c r="B49" s="37">
        <f t="shared" si="2"/>
        <v>42822</v>
      </c>
      <c r="C49" s="185" t="str">
        <f>IF(OR(A49="Samstag",A49="Sonntag"),"",IF(COUNTIF(Übersicht!C$16:C$30,B49)&gt;0,"BA",""))</f>
        <v/>
      </c>
      <c r="D49" s="38"/>
      <c r="E49" s="172">
        <f t="shared" si="4"/>
        <v>0</v>
      </c>
      <c r="F49" s="176"/>
      <c r="G49" s="177"/>
      <c r="H49" s="178"/>
      <c r="I49" s="38">
        <f t="shared" si="1"/>
        <v>0</v>
      </c>
      <c r="J49" s="35">
        <f t="shared" si="3"/>
        <v>0</v>
      </c>
      <c r="K49" s="36">
        <f t="shared" si="5"/>
        <v>0</v>
      </c>
      <c r="L49" s="251"/>
      <c r="M49" s="252"/>
      <c r="N49" s="252"/>
      <c r="O49" s="252"/>
      <c r="P49" s="253"/>
      <c r="Q49" s="89"/>
      <c r="R49" s="165"/>
      <c r="S49" s="76"/>
      <c r="T49" s="76"/>
      <c r="U49" s="76"/>
      <c r="V49" s="76"/>
      <c r="W49" s="76"/>
      <c r="X49" s="76"/>
      <c r="Y49" s="76"/>
      <c r="Z49" s="76"/>
      <c r="AA49" s="68"/>
      <c r="AB49" s="166"/>
      <c r="AC49" s="6"/>
      <c r="AD49" s="95"/>
      <c r="AE49" s="99"/>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row>
    <row r="50" spans="1:252" s="96" customFormat="1" ht="20.25" customHeight="1">
      <c r="A50" s="32" t="str">
        <f t="shared" si="0"/>
        <v>Mittwoch</v>
      </c>
      <c r="B50" s="37">
        <f t="shared" si="2"/>
        <v>42823</v>
      </c>
      <c r="C50" s="185" t="str">
        <f>IF(OR(A50="Samstag",A50="Sonntag"),"",IF(COUNTIF(Übersicht!C$16:C$30,B50)&gt;0,"BA",""))</f>
        <v/>
      </c>
      <c r="D50" s="38"/>
      <c r="E50" s="172">
        <f t="shared" si="4"/>
        <v>0</v>
      </c>
      <c r="F50" s="176"/>
      <c r="G50" s="177"/>
      <c r="H50" s="178"/>
      <c r="I50" s="38">
        <f t="shared" si="1"/>
        <v>0</v>
      </c>
      <c r="J50" s="35">
        <f t="shared" si="3"/>
        <v>0</v>
      </c>
      <c r="K50" s="36">
        <f t="shared" si="5"/>
        <v>0</v>
      </c>
      <c r="L50" s="251"/>
      <c r="M50" s="252"/>
      <c r="N50" s="252"/>
      <c r="O50" s="252"/>
      <c r="P50" s="253"/>
      <c r="Q50" s="89"/>
      <c r="R50" s="165"/>
      <c r="S50" s="76"/>
      <c r="T50" s="76"/>
      <c r="U50" s="76"/>
      <c r="V50" s="76"/>
      <c r="W50" s="76"/>
      <c r="X50" s="76"/>
      <c r="Y50" s="76"/>
      <c r="Z50" s="76"/>
      <c r="AA50" s="68"/>
      <c r="AB50" s="166"/>
      <c r="AC50" s="6"/>
      <c r="AD50" s="95"/>
      <c r="AE50" s="99"/>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row>
    <row r="51" spans="1:252" s="96" customFormat="1" ht="20.25" customHeight="1">
      <c r="A51" s="32" t="str">
        <f t="shared" si="0"/>
        <v>Donnerstag</v>
      </c>
      <c r="B51" s="37">
        <f t="shared" si="2"/>
        <v>42824</v>
      </c>
      <c r="C51" s="185" t="str">
        <f>IF(OR(A51="Samstag",A51="Sonntag"),"",IF(COUNTIF(Übersicht!C$16:C$30,B51)&gt;0,"BA",""))</f>
        <v/>
      </c>
      <c r="D51" s="38"/>
      <c r="E51" s="172">
        <f t="shared" si="4"/>
        <v>0</v>
      </c>
      <c r="F51" s="176"/>
      <c r="G51" s="177"/>
      <c r="H51" s="178"/>
      <c r="I51" s="38">
        <f t="shared" si="1"/>
        <v>0</v>
      </c>
      <c r="J51" s="35">
        <f t="shared" si="3"/>
        <v>0</v>
      </c>
      <c r="K51" s="36">
        <f t="shared" si="5"/>
        <v>0</v>
      </c>
      <c r="L51" s="251"/>
      <c r="M51" s="252"/>
      <c r="N51" s="252"/>
      <c r="O51" s="252"/>
      <c r="P51" s="253"/>
      <c r="Q51" s="89"/>
      <c r="R51" s="165"/>
      <c r="S51" s="76"/>
      <c r="T51" s="76"/>
      <c r="U51" s="76"/>
      <c r="V51" s="76"/>
      <c r="W51" s="76"/>
      <c r="X51" s="76"/>
      <c r="Y51" s="76"/>
      <c r="Z51" s="76"/>
      <c r="AA51" s="68"/>
      <c r="AB51" s="166"/>
      <c r="AC51" s="6"/>
      <c r="AD51" s="95"/>
      <c r="AE51" s="99"/>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row>
    <row r="52" spans="1:252" s="96" customFormat="1" ht="20.25" customHeight="1" thickBot="1">
      <c r="A52" s="32" t="str">
        <f t="shared" si="0"/>
        <v>Freitag</v>
      </c>
      <c r="B52" s="37">
        <f t="shared" si="2"/>
        <v>42825</v>
      </c>
      <c r="C52" s="185" t="str">
        <f>IF(OR(A52="Samstag",A52="Sonntag"),"",IF(COUNTIF(Übersicht!C$16:C$30,B52)&gt;0,"BA",""))</f>
        <v/>
      </c>
      <c r="D52" s="39"/>
      <c r="E52" s="172">
        <f t="shared" si="4"/>
        <v>0</v>
      </c>
      <c r="F52" s="198"/>
      <c r="G52" s="199"/>
      <c r="H52" s="200"/>
      <c r="I52" s="38">
        <f t="shared" si="1"/>
        <v>0</v>
      </c>
      <c r="J52" s="35">
        <f t="shared" si="3"/>
        <v>0</v>
      </c>
      <c r="K52" s="40">
        <f t="shared" si="5"/>
        <v>0</v>
      </c>
      <c r="L52" s="282"/>
      <c r="M52" s="283"/>
      <c r="N52" s="283"/>
      <c r="O52" s="283"/>
      <c r="P52" s="284"/>
      <c r="Q52" s="89"/>
      <c r="R52" s="165"/>
      <c r="S52" s="77"/>
      <c r="T52" s="77"/>
      <c r="U52" s="77"/>
      <c r="V52" s="77"/>
      <c r="W52" s="77"/>
      <c r="X52" s="77"/>
      <c r="Y52" s="77"/>
      <c r="Z52" s="78"/>
      <c r="AA52" s="68"/>
      <c r="AB52" s="166"/>
      <c r="AC52" s="6"/>
      <c r="AD52" s="95"/>
      <c r="AE52" s="99"/>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row>
    <row r="53" spans="1:252" s="96" customFormat="1" ht="18.75" customHeight="1">
      <c r="A53" s="6"/>
      <c r="B53" s="41" t="s">
        <v>26</v>
      </c>
      <c r="C53" s="42"/>
      <c r="D53" s="43"/>
      <c r="E53" s="43" t="s">
        <v>11</v>
      </c>
      <c r="F53" s="44"/>
      <c r="G53" s="44"/>
      <c r="H53" s="44"/>
      <c r="I53" s="43" t="s">
        <v>20</v>
      </c>
      <c r="J53" s="43" t="s">
        <v>28</v>
      </c>
      <c r="K53" s="43" t="s">
        <v>27</v>
      </c>
      <c r="L53" s="45"/>
      <c r="M53" s="45"/>
      <c r="N53" s="45"/>
      <c r="O53" s="45"/>
      <c r="P53" s="46"/>
      <c r="Q53" s="160"/>
      <c r="R53" s="160"/>
      <c r="S53" s="76"/>
      <c r="T53" s="183"/>
      <c r="U53" s="79"/>
      <c r="V53" s="6"/>
      <c r="W53" s="78"/>
      <c r="X53" s="76"/>
      <c r="Y53" s="80"/>
      <c r="Z53" s="80"/>
      <c r="AA53" s="68"/>
      <c r="AB53" s="68"/>
      <c r="AC53" s="6"/>
      <c r="AD53" s="95"/>
      <c r="AE53" s="99"/>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row>
    <row r="54" spans="1:252" s="96" customFormat="1" ht="18.75" customHeight="1">
      <c r="A54" s="6"/>
      <c r="B54" s="47"/>
      <c r="C54" s="48"/>
      <c r="D54" s="49"/>
      <c r="E54" s="50">
        <f>SUM(E22:E52)</f>
        <v>0</v>
      </c>
      <c r="F54" s="51"/>
      <c r="G54" s="52"/>
      <c r="H54" s="49"/>
      <c r="I54" s="50">
        <f>SUM(I22:I52)</f>
        <v>0</v>
      </c>
      <c r="J54" s="50">
        <f>SUM(J22:J52)</f>
        <v>0</v>
      </c>
      <c r="K54" s="50">
        <f>K52</f>
        <v>0</v>
      </c>
      <c r="L54" s="91"/>
      <c r="M54" s="91"/>
      <c r="N54" s="91"/>
      <c r="O54" s="91"/>
      <c r="P54" s="53"/>
      <c r="Q54" s="161"/>
      <c r="R54" s="161"/>
      <c r="S54" s="81"/>
      <c r="T54" s="82"/>
      <c r="U54" s="82"/>
      <c r="V54" s="6"/>
      <c r="W54" s="81"/>
      <c r="X54" s="81"/>
      <c r="Y54" s="6"/>
      <c r="Z54" s="6"/>
      <c r="AA54" s="68"/>
      <c r="AB54" s="68"/>
      <c r="AC54" s="6"/>
      <c r="AD54" s="95"/>
      <c r="AE54" s="99"/>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row>
    <row r="55" spans="1:252" s="96" customFormat="1" ht="15">
      <c r="A55" s="6"/>
      <c r="B55" s="54"/>
      <c r="C55" s="54"/>
      <c r="D55" s="54"/>
      <c r="E55" s="54"/>
      <c r="F55" s="55"/>
      <c r="G55" s="56"/>
      <c r="H55" s="100"/>
      <c r="I55" s="6"/>
      <c r="J55" s="101"/>
      <c r="K55" s="257" t="str">
        <f>IF($E$54*1.5&lt;IF($M$7&lt;0,$I$54+$M$7,$I$54),"Überschreitung der zulässigen Monatsarbeitszeit um &gt;50%","")</f>
        <v/>
      </c>
      <c r="L55" s="257"/>
      <c r="M55" s="257"/>
      <c r="N55" s="257"/>
      <c r="O55" s="257"/>
      <c r="P55" s="60"/>
      <c r="Q55" s="162"/>
      <c r="R55" s="162"/>
      <c r="S55" s="83"/>
      <c r="T55" s="83"/>
      <c r="U55" s="83"/>
      <c r="V55" s="6"/>
      <c r="W55" s="6"/>
      <c r="X55" s="76"/>
      <c r="Y55" s="6"/>
      <c r="Z55" s="6"/>
      <c r="AA55" s="68"/>
      <c r="AB55" s="68"/>
      <c r="AC55" s="6"/>
      <c r="AD55" s="95"/>
      <c r="AE55" s="99"/>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row>
    <row r="56" spans="1:252" s="96" customFormat="1" ht="15">
      <c r="A56" s="6"/>
      <c r="B56" s="54"/>
      <c r="C56" s="54"/>
      <c r="D56" s="54"/>
      <c r="E56" s="54"/>
      <c r="F56" s="55"/>
      <c r="G56" s="56"/>
      <c r="H56" s="102"/>
      <c r="I56" s="101"/>
      <c r="J56" s="101"/>
      <c r="K56" s="58"/>
      <c r="L56" s="59"/>
      <c r="M56" s="59"/>
      <c r="N56" s="59"/>
      <c r="O56" s="59"/>
      <c r="P56" s="60"/>
      <c r="Q56" s="162"/>
      <c r="R56" s="162"/>
      <c r="S56" s="83"/>
      <c r="T56" s="83"/>
      <c r="U56" s="83"/>
      <c r="V56" s="6"/>
      <c r="W56" s="6"/>
      <c r="X56" s="81"/>
      <c r="Y56" s="6"/>
      <c r="Z56" s="6"/>
      <c r="AA56" s="68"/>
      <c r="AB56" s="68"/>
      <c r="AC56" s="6"/>
      <c r="AD56" s="95"/>
      <c r="AE56" s="99"/>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row>
    <row r="57" spans="1:252" s="96" customFormat="1" ht="15">
      <c r="A57" s="6"/>
      <c r="B57" s="61"/>
      <c r="C57" s="61"/>
      <c r="D57" s="61"/>
      <c r="E57" s="61"/>
      <c r="F57" s="61"/>
      <c r="G57" s="61"/>
      <c r="H57" s="62"/>
      <c r="I57" s="6"/>
      <c r="J57" s="6"/>
      <c r="K57" s="6" t="s">
        <v>75</v>
      </c>
      <c r="L57" s="6"/>
      <c r="M57" s="6"/>
      <c r="N57" s="6"/>
      <c r="O57" s="57"/>
      <c r="P57" s="24"/>
      <c r="Q57" s="156"/>
      <c r="R57" s="156"/>
      <c r="S57" s="6"/>
      <c r="T57" s="6"/>
      <c r="U57" s="6"/>
      <c r="V57" s="6"/>
      <c r="W57" s="6"/>
      <c r="X57" s="6"/>
      <c r="Y57" s="6"/>
      <c r="Z57" s="6"/>
      <c r="AA57" s="68"/>
      <c r="AB57" s="68"/>
      <c r="AC57" s="6"/>
      <c r="AD57" s="95"/>
      <c r="AE57" s="99"/>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row>
    <row r="58" spans="1:252" s="96" customFormat="1" ht="15">
      <c r="A58" s="6"/>
      <c r="B58" s="62"/>
      <c r="C58" s="62"/>
      <c r="D58" s="62"/>
      <c r="E58" s="62"/>
      <c r="F58" s="62"/>
      <c r="G58" s="62"/>
      <c r="H58" s="32"/>
      <c r="I58" s="103"/>
      <c r="J58" s="68"/>
      <c r="K58" s="6" t="s">
        <v>76</v>
      </c>
      <c r="L58" s="206"/>
      <c r="M58" s="207"/>
      <c r="N58" s="207"/>
      <c r="O58" s="201"/>
      <c r="P58" s="63"/>
      <c r="Q58" s="163"/>
      <c r="R58" s="163"/>
      <c r="S58" s="84"/>
      <c r="T58" s="84"/>
      <c r="U58" s="84"/>
      <c r="V58" s="6"/>
      <c r="W58" s="6"/>
      <c r="X58" s="6"/>
      <c r="Y58" s="6"/>
      <c r="Z58" s="6"/>
      <c r="AA58" s="68"/>
      <c r="AB58" s="68"/>
      <c r="AC58" s="6"/>
      <c r="AD58" s="95"/>
      <c r="AE58" s="99"/>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row>
    <row r="59" spans="1:252" s="96" customFormat="1" ht="15">
      <c r="A59" s="6"/>
      <c r="B59" s="64"/>
      <c r="C59" s="64"/>
      <c r="D59" s="64"/>
      <c r="E59" s="64"/>
      <c r="F59" s="64"/>
      <c r="G59" s="62"/>
      <c r="H59" s="208"/>
      <c r="I59" s="208"/>
      <c r="J59" s="208"/>
      <c r="K59" s="65"/>
      <c r="L59" s="65"/>
      <c r="M59" s="65"/>
      <c r="N59" s="65"/>
      <c r="O59" s="65"/>
      <c r="P59" s="66"/>
      <c r="Q59" s="156"/>
      <c r="R59" s="156"/>
      <c r="S59" s="6"/>
      <c r="T59" s="6"/>
      <c r="U59" s="6"/>
      <c r="V59" s="6"/>
      <c r="W59" s="6"/>
      <c r="X59" s="6"/>
      <c r="Y59" s="6"/>
      <c r="Z59" s="6"/>
      <c r="AA59" s="68"/>
      <c r="AB59" s="68"/>
      <c r="AC59" s="6"/>
      <c r="AD59" s="95"/>
      <c r="AE59" s="99"/>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row>
    <row r="60" spans="1:252" s="96" customFormat="1" ht="15">
      <c r="A60" s="6"/>
      <c r="B60" s="67" t="s">
        <v>4</v>
      </c>
      <c r="C60" s="280" t="s">
        <v>5</v>
      </c>
      <c r="D60" s="280"/>
      <c r="E60" s="280"/>
      <c r="F60" s="280"/>
      <c r="G60" s="281"/>
      <c r="H60" s="32"/>
      <c r="I60" s="104"/>
      <c r="J60" s="6"/>
      <c r="K60" s="67" t="s">
        <v>4</v>
      </c>
      <c r="L60" s="281" t="s">
        <v>66</v>
      </c>
      <c r="M60" s="281"/>
      <c r="N60" s="281"/>
      <c r="O60" s="281"/>
      <c r="P60" s="281"/>
      <c r="Q60" s="24"/>
      <c r="R60" s="6"/>
      <c r="S60" s="6"/>
      <c r="T60" s="6"/>
      <c r="U60" s="6"/>
      <c r="V60" s="6"/>
      <c r="W60" s="6"/>
      <c r="X60" s="6"/>
      <c r="Y60" s="6"/>
      <c r="Z60" s="6"/>
      <c r="AA60" s="68"/>
      <c r="AB60" s="68"/>
      <c r="AC60" s="6"/>
      <c r="AD60" s="95"/>
      <c r="AE60" s="99"/>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row>
    <row r="61" spans="1:252" s="96" customFormat="1" ht="15">
      <c r="A61" s="6"/>
      <c r="B61" s="67"/>
      <c r="C61" s="205"/>
      <c r="D61" s="205"/>
      <c r="E61" s="205"/>
      <c r="F61" s="205"/>
      <c r="G61" s="205"/>
      <c r="H61" s="32"/>
      <c r="I61" s="104"/>
      <c r="J61" s="6"/>
      <c r="K61" s="67"/>
      <c r="L61" s="205"/>
      <c r="M61" s="205"/>
      <c r="N61" s="205"/>
      <c r="O61" s="205"/>
      <c r="P61" s="205"/>
      <c r="Q61" s="24"/>
      <c r="R61" s="6"/>
      <c r="S61" s="6"/>
      <c r="T61" s="6"/>
      <c r="U61" s="6"/>
      <c r="V61" s="6"/>
      <c r="W61" s="6"/>
      <c r="X61" s="6"/>
      <c r="Y61" s="6"/>
      <c r="Z61" s="6"/>
      <c r="AA61" s="68"/>
      <c r="AB61" s="68"/>
      <c r="AC61" s="6"/>
      <c r="AD61" s="95"/>
      <c r="AE61" s="99"/>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row>
    <row r="62" spans="1:252" s="96" customFormat="1" ht="15">
      <c r="A62" s="6"/>
      <c r="B62" s="57"/>
      <c r="C62" s="57"/>
      <c r="D62" s="57"/>
      <c r="E62" s="57"/>
      <c r="F62" s="57"/>
      <c r="G62" s="57"/>
      <c r="H62" s="105" t="s">
        <v>46</v>
      </c>
      <c r="I62" s="32"/>
      <c r="J62" s="106">
        <v>42114</v>
      </c>
      <c r="K62" s="57"/>
      <c r="L62" s="57"/>
      <c r="M62" s="57"/>
      <c r="N62" s="57"/>
      <c r="O62" s="57"/>
      <c r="P62" s="24"/>
      <c r="Q62" s="24"/>
      <c r="R62" s="6"/>
      <c r="S62" s="6"/>
      <c r="T62" s="6"/>
      <c r="U62" s="6"/>
      <c r="V62" s="68"/>
      <c r="W62" s="6"/>
      <c r="X62" s="6"/>
      <c r="Y62" s="6"/>
      <c r="Z62" s="6"/>
      <c r="AA62" s="68"/>
      <c r="AB62" s="68"/>
      <c r="AC62" s="6"/>
      <c r="AD62" s="95"/>
      <c r="AE62" s="99"/>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row>
    <row r="63" spans="1:252" s="96" customFormat="1" ht="15" hidden="1">
      <c r="A63" s="6"/>
      <c r="B63" s="57"/>
      <c r="C63" s="57"/>
      <c r="D63" s="57"/>
      <c r="E63" s="57"/>
      <c r="F63" s="57"/>
      <c r="G63" s="57"/>
      <c r="H63" s="57"/>
      <c r="I63" s="57"/>
      <c r="J63" s="57"/>
      <c r="K63" s="57"/>
      <c r="L63" s="57"/>
      <c r="M63" s="57"/>
      <c r="N63" s="57"/>
      <c r="O63" s="57"/>
      <c r="P63" s="24"/>
      <c r="Q63" s="24"/>
      <c r="R63" s="6"/>
      <c r="S63" s="6"/>
      <c r="T63" s="6"/>
      <c r="U63" s="6"/>
      <c r="V63" s="6"/>
      <c r="W63" s="6"/>
      <c r="X63" s="6"/>
      <c r="Y63" s="6"/>
      <c r="Z63" s="6"/>
      <c r="AA63" s="68"/>
      <c r="AB63" s="68"/>
      <c r="AC63" s="6"/>
      <c r="AD63" s="95"/>
      <c r="AE63" s="99"/>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row>
    <row r="64" spans="1:252" s="96" customFormat="1" ht="15" hidden="1">
      <c r="A64" s="6"/>
      <c r="B64" s="57"/>
      <c r="C64" s="57"/>
      <c r="D64" s="57"/>
      <c r="E64" s="57"/>
      <c r="F64" s="57"/>
      <c r="G64" s="57"/>
      <c r="H64" s="57"/>
      <c r="I64" s="57"/>
      <c r="J64" s="57"/>
      <c r="K64" s="57"/>
      <c r="L64" s="57"/>
      <c r="M64" s="57"/>
      <c r="N64" s="57"/>
      <c r="O64" s="57"/>
      <c r="P64" s="24"/>
      <c r="Q64" s="24"/>
      <c r="R64" s="6"/>
      <c r="S64" s="6"/>
      <c r="T64" s="6"/>
      <c r="U64" s="6"/>
      <c r="V64" s="6"/>
      <c r="W64" s="6"/>
      <c r="X64" s="6"/>
      <c r="Y64" s="6"/>
      <c r="Z64" s="6"/>
      <c r="AA64" s="68"/>
      <c r="AB64" s="68"/>
      <c r="AC64" s="6"/>
      <c r="AD64" s="95"/>
      <c r="AE64" s="99"/>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row>
    <row r="65" spans="1:252" s="96" customFormat="1" ht="15" hidden="1">
      <c r="A65" s="6"/>
      <c r="B65" s="57"/>
      <c r="C65" s="57"/>
      <c r="D65" s="57"/>
      <c r="E65" s="57"/>
      <c r="F65" s="57"/>
      <c r="G65" s="57"/>
      <c r="H65" s="57"/>
      <c r="I65" s="57"/>
      <c r="J65" s="57"/>
      <c r="K65" s="57"/>
      <c r="L65" s="57"/>
      <c r="M65" s="57"/>
      <c r="N65" s="57"/>
      <c r="O65" s="57"/>
      <c r="P65" s="24"/>
      <c r="Q65" s="24"/>
      <c r="R65" s="6"/>
      <c r="S65" s="6"/>
      <c r="T65" s="6"/>
      <c r="U65" s="6"/>
      <c r="V65" s="6"/>
      <c r="W65" s="6"/>
      <c r="X65" s="6"/>
      <c r="Y65" s="6"/>
      <c r="Z65" s="6"/>
      <c r="AA65" s="68"/>
      <c r="AB65" s="68"/>
      <c r="AC65" s="6"/>
      <c r="AD65" s="95"/>
      <c r="AE65" s="99"/>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row>
    <row r="66" spans="1:252" s="96" customFormat="1" ht="15" hidden="1">
      <c r="A66" s="6"/>
      <c r="B66" s="57"/>
      <c r="C66" s="57"/>
      <c r="D66" s="57"/>
      <c r="E66" s="57"/>
      <c r="F66" s="57"/>
      <c r="G66" s="57"/>
      <c r="H66" s="57"/>
      <c r="I66" s="57"/>
      <c r="J66" s="57"/>
      <c r="K66" s="57"/>
      <c r="L66" s="57"/>
      <c r="M66" s="57"/>
      <c r="N66" s="57"/>
      <c r="O66" s="57"/>
      <c r="P66" s="24"/>
      <c r="Q66" s="24"/>
      <c r="R66" s="6"/>
      <c r="S66" s="6"/>
      <c r="T66" s="6"/>
      <c r="U66" s="6"/>
      <c r="V66" s="6"/>
      <c r="W66" s="6"/>
      <c r="X66" s="6"/>
      <c r="Y66" s="6"/>
      <c r="Z66" s="6"/>
      <c r="AA66" s="68"/>
      <c r="AB66" s="68"/>
      <c r="AC66" s="6"/>
      <c r="AD66" s="95"/>
      <c r="AE66" s="99"/>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row>
    <row r="67" spans="1:252" s="96" customFormat="1" ht="15" hidden="1">
      <c r="A67" s="6"/>
      <c r="B67" s="57"/>
      <c r="C67" s="57"/>
      <c r="D67" s="57"/>
      <c r="E67" s="57"/>
      <c r="F67" s="57"/>
      <c r="G67" s="57"/>
      <c r="H67" s="57"/>
      <c r="I67" s="57"/>
      <c r="J67" s="57"/>
      <c r="K67" s="57"/>
      <c r="L67" s="57"/>
      <c r="M67" s="57"/>
      <c r="N67" s="57"/>
      <c r="O67" s="57"/>
      <c r="P67" s="24"/>
      <c r="Q67" s="24"/>
      <c r="R67" s="6"/>
      <c r="S67" s="6"/>
      <c r="T67" s="6"/>
      <c r="U67" s="6"/>
      <c r="V67" s="6"/>
      <c r="W67" s="6"/>
      <c r="X67" s="6"/>
      <c r="Y67" s="6"/>
      <c r="Z67" s="6"/>
      <c r="AA67" s="68"/>
      <c r="AB67" s="68"/>
      <c r="AC67" s="6"/>
      <c r="AD67" s="95"/>
      <c r="AE67" s="99"/>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row>
    <row r="68" spans="1:252" s="96" customFormat="1" ht="15" hidden="1">
      <c r="A68" s="6"/>
      <c r="B68" s="57"/>
      <c r="C68" s="57"/>
      <c r="D68" s="57"/>
      <c r="E68" s="57"/>
      <c r="F68" s="57"/>
      <c r="G68" s="57"/>
      <c r="H68" s="57"/>
      <c r="I68" s="57"/>
      <c r="J68" s="57"/>
      <c r="K68" s="57"/>
      <c r="L68" s="57"/>
      <c r="M68" s="57"/>
      <c r="N68" s="57"/>
      <c r="O68" s="57"/>
      <c r="P68" s="24"/>
      <c r="Q68" s="24"/>
      <c r="R68" s="6"/>
      <c r="S68" s="6"/>
      <c r="T68" s="6"/>
      <c r="U68" s="6"/>
      <c r="V68" s="6"/>
      <c r="W68" s="6"/>
      <c r="X68" s="6"/>
      <c r="Y68" s="6"/>
      <c r="Z68" s="6"/>
      <c r="AA68" s="68"/>
      <c r="AB68" s="68"/>
      <c r="AC68" s="6"/>
      <c r="AD68" s="95"/>
      <c r="AE68" s="99"/>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row>
    <row r="69" spans="1:252" s="96" customFormat="1" ht="15" hidden="1">
      <c r="A69" s="6"/>
      <c r="B69" s="57"/>
      <c r="C69" s="57"/>
      <c r="D69" s="57"/>
      <c r="E69" s="57"/>
      <c r="F69" s="57"/>
      <c r="G69" s="57"/>
      <c r="H69" s="57"/>
      <c r="I69" s="57"/>
      <c r="J69" s="57"/>
      <c r="K69" s="57"/>
      <c r="L69" s="57"/>
      <c r="M69" s="57"/>
      <c r="N69" s="57"/>
      <c r="O69" s="57"/>
      <c r="P69" s="24"/>
      <c r="Q69" s="24"/>
      <c r="R69" s="6"/>
      <c r="S69" s="6"/>
      <c r="T69" s="6"/>
      <c r="U69" s="6"/>
      <c r="V69" s="6"/>
      <c r="W69" s="6"/>
      <c r="X69" s="6"/>
      <c r="Y69" s="6"/>
      <c r="Z69" s="6"/>
      <c r="AA69" s="68"/>
      <c r="AB69" s="68"/>
      <c r="AC69" s="6"/>
      <c r="AD69" s="95"/>
      <c r="AE69" s="99"/>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row>
    <row r="70" spans="1:252" s="96" customFormat="1" ht="15" hidden="1">
      <c r="A70" s="6"/>
      <c r="B70" s="57"/>
      <c r="C70" s="57"/>
      <c r="D70" s="57"/>
      <c r="E70" s="57"/>
      <c r="F70" s="57"/>
      <c r="G70" s="57"/>
      <c r="H70" s="57"/>
      <c r="I70" s="57"/>
      <c r="J70" s="57"/>
      <c r="K70" s="57"/>
      <c r="L70" s="57"/>
      <c r="M70" s="57"/>
      <c r="N70" s="57"/>
      <c r="O70" s="57"/>
      <c r="P70" s="24"/>
      <c r="Q70" s="24"/>
      <c r="R70" s="6"/>
      <c r="S70" s="6"/>
      <c r="T70" s="6"/>
      <c r="U70" s="6"/>
      <c r="V70" s="6"/>
      <c r="W70" s="6"/>
      <c r="X70" s="6"/>
      <c r="Y70" s="6"/>
      <c r="Z70" s="6"/>
      <c r="AA70" s="68"/>
      <c r="AB70" s="68"/>
      <c r="AC70" s="6"/>
      <c r="AD70" s="95"/>
      <c r="AE70" s="99"/>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row>
    <row r="71" spans="1:252" s="96" customFormat="1" ht="15" hidden="1">
      <c r="A71" s="6"/>
      <c r="B71" s="57"/>
      <c r="C71" s="57"/>
      <c r="D71" s="57"/>
      <c r="E71" s="57"/>
      <c r="F71" s="57"/>
      <c r="G71" s="57"/>
      <c r="H71" s="57"/>
      <c r="I71" s="57"/>
      <c r="J71" s="57"/>
      <c r="K71" s="57"/>
      <c r="L71" s="57"/>
      <c r="M71" s="57"/>
      <c r="N71" s="57"/>
      <c r="O71" s="57"/>
      <c r="P71" s="24"/>
      <c r="Q71" s="24"/>
      <c r="R71" s="6"/>
      <c r="S71" s="6"/>
      <c r="T71" s="6"/>
      <c r="U71" s="6"/>
      <c r="V71" s="6"/>
      <c r="W71" s="6"/>
      <c r="X71" s="6"/>
      <c r="Y71" s="6"/>
      <c r="Z71" s="6"/>
      <c r="AA71" s="68"/>
      <c r="AB71" s="68"/>
      <c r="AC71" s="6"/>
      <c r="AD71" s="95"/>
      <c r="AE71" s="99"/>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row>
    <row r="72" spans="1:252" s="96" customFormat="1" ht="15" hidden="1">
      <c r="A72" s="6"/>
      <c r="B72" s="57"/>
      <c r="C72" s="57"/>
      <c r="D72" s="57"/>
      <c r="E72" s="57"/>
      <c r="F72" s="57"/>
      <c r="G72" s="57"/>
      <c r="H72" s="57"/>
      <c r="I72" s="57"/>
      <c r="J72" s="57"/>
      <c r="K72" s="57"/>
      <c r="L72" s="57"/>
      <c r="M72" s="57"/>
      <c r="N72" s="57"/>
      <c r="O72" s="57"/>
      <c r="P72" s="24"/>
      <c r="Q72" s="24"/>
      <c r="R72" s="6"/>
      <c r="S72" s="6"/>
      <c r="T72" s="6"/>
      <c r="U72" s="6"/>
      <c r="V72" s="6"/>
      <c r="W72" s="6"/>
      <c r="X72" s="6"/>
      <c r="Y72" s="6"/>
      <c r="Z72" s="6"/>
      <c r="AA72" s="68"/>
      <c r="AB72" s="68"/>
      <c r="AC72" s="6"/>
      <c r="AD72" s="95"/>
      <c r="AE72" s="99"/>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row>
    <row r="73" spans="1:252" s="96" customFormat="1" ht="15" hidden="1">
      <c r="A73" s="6"/>
      <c r="B73" s="57"/>
      <c r="C73" s="57"/>
      <c r="D73" s="57"/>
      <c r="E73" s="57"/>
      <c r="F73" s="57"/>
      <c r="G73" s="57"/>
      <c r="H73" s="57"/>
      <c r="I73" s="57"/>
      <c r="J73" s="57"/>
      <c r="K73" s="57"/>
      <c r="L73" s="57"/>
      <c r="M73" s="57"/>
      <c r="N73" s="57"/>
      <c r="O73" s="57"/>
      <c r="P73" s="24"/>
      <c r="Q73" s="24"/>
      <c r="R73" s="6"/>
      <c r="S73" s="6"/>
      <c r="T73" s="6"/>
      <c r="U73" s="6"/>
      <c r="V73" s="6"/>
      <c r="W73" s="6"/>
      <c r="X73" s="6"/>
      <c r="Y73" s="6"/>
      <c r="Z73" s="6"/>
      <c r="AA73" s="68"/>
      <c r="AB73" s="68"/>
      <c r="AC73" s="6"/>
      <c r="AD73" s="95"/>
      <c r="AE73" s="99"/>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c r="HR73" s="3"/>
      <c r="HS73" s="3"/>
      <c r="HT73" s="3"/>
      <c r="HU73" s="3"/>
      <c r="HV73" s="3"/>
      <c r="HW73" s="3"/>
      <c r="HX73" s="3"/>
      <c r="HY73" s="3"/>
      <c r="HZ73" s="3"/>
      <c r="IA73" s="3"/>
      <c r="IB73" s="3"/>
      <c r="IC73" s="3"/>
      <c r="ID73" s="3"/>
      <c r="IE73" s="3"/>
      <c r="IF73" s="3"/>
      <c r="IG73" s="3"/>
      <c r="IH73" s="3"/>
      <c r="II73" s="3"/>
      <c r="IJ73" s="3"/>
      <c r="IK73" s="3"/>
      <c r="IL73" s="3"/>
      <c r="IM73" s="3"/>
      <c r="IN73" s="3"/>
      <c r="IO73" s="3"/>
      <c r="IP73" s="3"/>
      <c r="IQ73" s="3"/>
      <c r="IR73" s="3"/>
    </row>
    <row r="74" spans="1:252" s="96" customFormat="1" ht="15" hidden="1">
      <c r="A74" s="6"/>
      <c r="B74" s="57"/>
      <c r="C74" s="57"/>
      <c r="D74" s="57"/>
      <c r="E74" s="57"/>
      <c r="F74" s="57"/>
      <c r="G74" s="57"/>
      <c r="H74" s="57"/>
      <c r="I74" s="57"/>
      <c r="J74" s="57"/>
      <c r="K74" s="57"/>
      <c r="L74" s="57"/>
      <c r="M74" s="57"/>
      <c r="N74" s="57"/>
      <c r="O74" s="57"/>
      <c r="P74" s="24"/>
      <c r="Q74" s="24"/>
      <c r="R74" s="6"/>
      <c r="S74" s="6"/>
      <c r="T74" s="6"/>
      <c r="U74" s="6"/>
      <c r="V74" s="6"/>
      <c r="W74" s="6"/>
      <c r="X74" s="6"/>
      <c r="Y74" s="6"/>
      <c r="Z74" s="6"/>
      <c r="AA74" s="68"/>
      <c r="AB74" s="68"/>
      <c r="AC74" s="6"/>
      <c r="AD74" s="95"/>
      <c r="AE74" s="99"/>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row>
    <row r="75" spans="1:252" s="96" customFormat="1" ht="15" hidden="1">
      <c r="A75" s="6"/>
      <c r="B75" s="57"/>
      <c r="C75" s="57"/>
      <c r="D75" s="57"/>
      <c r="E75" s="57"/>
      <c r="F75" s="57"/>
      <c r="G75" s="57"/>
      <c r="H75" s="57"/>
      <c r="I75" s="57"/>
      <c r="J75" s="57"/>
      <c r="K75" s="57"/>
      <c r="L75" s="57"/>
      <c r="M75" s="57"/>
      <c r="N75" s="57"/>
      <c r="O75" s="57"/>
      <c r="P75" s="24"/>
      <c r="Q75" s="24"/>
      <c r="R75" s="6"/>
      <c r="S75" s="6"/>
      <c r="T75" s="6"/>
      <c r="U75" s="6"/>
      <c r="V75" s="6"/>
      <c r="W75" s="6"/>
      <c r="X75" s="6"/>
      <c r="Y75" s="6"/>
      <c r="Z75" s="6"/>
      <c r="AA75" s="68"/>
      <c r="AB75" s="68"/>
      <c r="AC75" s="6"/>
      <c r="AD75" s="95"/>
      <c r="AE75" s="99"/>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row>
    <row r="76" spans="1:252" s="96" customFormat="1" ht="15" hidden="1">
      <c r="A76" s="6"/>
      <c r="B76" s="57"/>
      <c r="C76" s="57"/>
      <c r="D76" s="57"/>
      <c r="E76" s="57"/>
      <c r="F76" s="57"/>
      <c r="G76" s="57"/>
      <c r="H76" s="57"/>
      <c r="I76" s="57"/>
      <c r="J76" s="57"/>
      <c r="K76" s="57"/>
      <c r="L76" s="57"/>
      <c r="M76" s="57"/>
      <c r="N76" s="57"/>
      <c r="O76" s="57"/>
      <c r="P76" s="24"/>
      <c r="Q76" s="24"/>
      <c r="R76" s="6"/>
      <c r="S76" s="6"/>
      <c r="T76" s="6"/>
      <c r="U76" s="6"/>
      <c r="V76" s="6"/>
      <c r="W76" s="6"/>
      <c r="X76" s="6"/>
      <c r="Y76" s="6"/>
      <c r="Z76" s="6"/>
      <c r="AA76" s="68"/>
      <c r="AB76" s="68"/>
      <c r="AC76" s="6"/>
      <c r="AD76" s="95"/>
      <c r="AE76" s="99"/>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row>
    <row r="77" spans="1:252" s="96" customFormat="1" ht="15" hidden="1">
      <c r="A77" s="6"/>
      <c r="B77" s="57"/>
      <c r="C77" s="57"/>
      <c r="D77" s="57"/>
      <c r="E77" s="57"/>
      <c r="F77" s="57"/>
      <c r="G77" s="57"/>
      <c r="H77" s="57"/>
      <c r="I77" s="57"/>
      <c r="J77" s="57"/>
      <c r="K77" s="57"/>
      <c r="L77" s="57"/>
      <c r="M77" s="57"/>
      <c r="N77" s="57"/>
      <c r="O77" s="57"/>
      <c r="P77" s="24"/>
      <c r="Q77" s="24"/>
      <c r="R77" s="6"/>
      <c r="S77" s="6"/>
      <c r="T77" s="6"/>
      <c r="U77" s="6"/>
      <c r="V77" s="6"/>
      <c r="W77" s="6"/>
      <c r="X77" s="6"/>
      <c r="Y77" s="6"/>
      <c r="Z77" s="6"/>
      <c r="AA77" s="68"/>
      <c r="AB77" s="68"/>
      <c r="AC77" s="6"/>
      <c r="AD77" s="95"/>
      <c r="AE77" s="99"/>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c r="HF77" s="3"/>
      <c r="HG77" s="3"/>
      <c r="HH77" s="3"/>
      <c r="HI77" s="3"/>
      <c r="HJ77" s="3"/>
      <c r="HK77" s="3"/>
      <c r="HL77" s="3"/>
      <c r="HM77" s="3"/>
      <c r="HN77" s="3"/>
      <c r="HO77" s="3"/>
      <c r="HP77" s="3"/>
      <c r="HQ77" s="3"/>
      <c r="HR77" s="3"/>
      <c r="HS77" s="3"/>
      <c r="HT77" s="3"/>
      <c r="HU77" s="3"/>
      <c r="HV77" s="3"/>
      <c r="HW77" s="3"/>
      <c r="HX77" s="3"/>
      <c r="HY77" s="3"/>
      <c r="HZ77" s="3"/>
      <c r="IA77" s="3"/>
      <c r="IB77" s="3"/>
      <c r="IC77" s="3"/>
      <c r="ID77" s="3"/>
      <c r="IE77" s="3"/>
      <c r="IF77" s="3"/>
      <c r="IG77" s="3"/>
      <c r="IH77" s="3"/>
      <c r="II77" s="3"/>
      <c r="IJ77" s="3"/>
      <c r="IK77" s="3"/>
      <c r="IL77" s="3"/>
      <c r="IM77" s="3"/>
      <c r="IN77" s="3"/>
      <c r="IO77" s="3"/>
      <c r="IP77" s="3"/>
      <c r="IQ77" s="3"/>
      <c r="IR77" s="3"/>
    </row>
    <row r="78" spans="1:252" s="96" customFormat="1" ht="15" hidden="1">
      <c r="A78" s="6"/>
      <c r="B78" s="57"/>
      <c r="C78" s="57"/>
      <c r="D78" s="57"/>
      <c r="E78" s="57"/>
      <c r="F78" s="57"/>
      <c r="G78" s="57"/>
      <c r="H78" s="57"/>
      <c r="I78" s="57"/>
      <c r="J78" s="57"/>
      <c r="K78" s="57"/>
      <c r="L78" s="57"/>
      <c r="M78" s="57"/>
      <c r="N78" s="57"/>
      <c r="O78" s="57"/>
      <c r="P78" s="24"/>
      <c r="Q78" s="24"/>
      <c r="R78" s="6"/>
      <c r="S78" s="6"/>
      <c r="T78" s="6"/>
      <c r="U78" s="6"/>
      <c r="V78" s="6"/>
      <c r="W78" s="6"/>
      <c r="X78" s="6"/>
      <c r="Y78" s="6"/>
      <c r="Z78" s="6"/>
      <c r="AA78" s="68"/>
      <c r="AB78" s="68"/>
      <c r="AC78" s="6"/>
      <c r="AD78" s="95"/>
      <c r="AE78" s="99"/>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c r="HF78" s="3"/>
      <c r="HG78" s="3"/>
      <c r="HH78" s="3"/>
      <c r="HI78" s="3"/>
      <c r="HJ78" s="3"/>
      <c r="HK78" s="3"/>
      <c r="HL78" s="3"/>
      <c r="HM78" s="3"/>
      <c r="HN78" s="3"/>
      <c r="HO78" s="3"/>
      <c r="HP78" s="3"/>
      <c r="HQ78" s="3"/>
      <c r="HR78" s="3"/>
      <c r="HS78" s="3"/>
      <c r="HT78" s="3"/>
      <c r="HU78" s="3"/>
      <c r="HV78" s="3"/>
      <c r="HW78" s="3"/>
      <c r="HX78" s="3"/>
      <c r="HY78" s="3"/>
      <c r="HZ78" s="3"/>
      <c r="IA78" s="3"/>
      <c r="IB78" s="3"/>
      <c r="IC78" s="3"/>
      <c r="ID78" s="3"/>
      <c r="IE78" s="3"/>
      <c r="IF78" s="3"/>
      <c r="IG78" s="3"/>
      <c r="IH78" s="3"/>
      <c r="II78" s="3"/>
      <c r="IJ78" s="3"/>
      <c r="IK78" s="3"/>
      <c r="IL78" s="3"/>
      <c r="IM78" s="3"/>
      <c r="IN78" s="3"/>
      <c r="IO78" s="3"/>
      <c r="IP78" s="3"/>
      <c r="IQ78" s="3"/>
      <c r="IR78" s="3"/>
    </row>
    <row r="79" spans="1:252" s="96" customFormat="1" ht="15" hidden="1">
      <c r="A79" s="6"/>
      <c r="B79" s="57"/>
      <c r="C79" s="57"/>
      <c r="D79" s="57"/>
      <c r="E79" s="57"/>
      <c r="F79" s="57"/>
      <c r="G79" s="57"/>
      <c r="H79" s="57"/>
      <c r="I79" s="57"/>
      <c r="J79" s="57"/>
      <c r="K79" s="57"/>
      <c r="L79" s="57"/>
      <c r="M79" s="57"/>
      <c r="N79" s="57"/>
      <c r="O79" s="57"/>
      <c r="P79" s="24"/>
      <c r="Q79" s="24"/>
      <c r="R79" s="6"/>
      <c r="S79" s="6"/>
      <c r="T79" s="6"/>
      <c r="U79" s="6"/>
      <c r="V79" s="6"/>
      <c r="W79" s="6"/>
      <c r="X79" s="6"/>
      <c r="Y79" s="6"/>
      <c r="Z79" s="6"/>
      <c r="AA79" s="68"/>
      <c r="AB79" s="68"/>
      <c r="AC79" s="6"/>
      <c r="AD79" s="95"/>
      <c r="AE79" s="99"/>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c r="HF79" s="3"/>
      <c r="HG79" s="3"/>
      <c r="HH79" s="3"/>
      <c r="HI79" s="3"/>
      <c r="HJ79" s="3"/>
      <c r="HK79" s="3"/>
      <c r="HL79" s="3"/>
      <c r="HM79" s="3"/>
      <c r="HN79" s="3"/>
      <c r="HO79" s="3"/>
      <c r="HP79" s="3"/>
      <c r="HQ79" s="3"/>
      <c r="HR79" s="3"/>
      <c r="HS79" s="3"/>
      <c r="HT79" s="3"/>
      <c r="HU79" s="3"/>
      <c r="HV79" s="3"/>
      <c r="HW79" s="3"/>
      <c r="HX79" s="3"/>
      <c r="HY79" s="3"/>
      <c r="HZ79" s="3"/>
      <c r="IA79" s="3"/>
      <c r="IB79" s="3"/>
      <c r="IC79" s="3"/>
      <c r="ID79" s="3"/>
      <c r="IE79" s="3"/>
      <c r="IF79" s="3"/>
      <c r="IG79" s="3"/>
      <c r="IH79" s="3"/>
      <c r="II79" s="3"/>
      <c r="IJ79" s="3"/>
      <c r="IK79" s="3"/>
      <c r="IL79" s="3"/>
      <c r="IM79" s="3"/>
      <c r="IN79" s="3"/>
      <c r="IO79" s="3"/>
      <c r="IP79" s="3"/>
      <c r="IQ79" s="3"/>
      <c r="IR79" s="3"/>
    </row>
    <row r="80" spans="1:252" s="96" customFormat="1" ht="15" hidden="1">
      <c r="A80" s="6"/>
      <c r="B80" s="57"/>
      <c r="C80" s="57"/>
      <c r="D80" s="57"/>
      <c r="E80" s="57"/>
      <c r="F80" s="57"/>
      <c r="G80" s="57"/>
      <c r="H80" s="57"/>
      <c r="I80" s="57"/>
      <c r="J80" s="57"/>
      <c r="K80" s="57"/>
      <c r="L80" s="57"/>
      <c r="M80" s="57"/>
      <c r="N80" s="57"/>
      <c r="O80" s="57"/>
      <c r="P80" s="24"/>
      <c r="Q80" s="24"/>
      <c r="R80" s="6"/>
      <c r="S80" s="6"/>
      <c r="T80" s="6"/>
      <c r="U80" s="6"/>
      <c r="V80" s="6"/>
      <c r="W80" s="6"/>
      <c r="X80" s="6"/>
      <c r="Y80" s="6"/>
      <c r="Z80" s="6"/>
      <c r="AA80" s="68"/>
      <c r="AB80" s="68"/>
      <c r="AC80" s="6"/>
      <c r="AD80" s="95"/>
      <c r="AE80" s="99"/>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c r="HF80" s="3"/>
      <c r="HG80" s="3"/>
      <c r="HH80" s="3"/>
      <c r="HI80" s="3"/>
      <c r="HJ80" s="3"/>
      <c r="HK80" s="3"/>
      <c r="HL80" s="3"/>
      <c r="HM80" s="3"/>
      <c r="HN80" s="3"/>
      <c r="HO80" s="3"/>
      <c r="HP80" s="3"/>
      <c r="HQ80" s="3"/>
      <c r="HR80" s="3"/>
      <c r="HS80" s="3"/>
      <c r="HT80" s="3"/>
      <c r="HU80" s="3"/>
      <c r="HV80" s="3"/>
      <c r="HW80" s="3"/>
      <c r="HX80" s="3"/>
      <c r="HY80" s="3"/>
      <c r="HZ80" s="3"/>
      <c r="IA80" s="3"/>
      <c r="IB80" s="3"/>
      <c r="IC80" s="3"/>
      <c r="ID80" s="3"/>
      <c r="IE80" s="3"/>
      <c r="IF80" s="3"/>
      <c r="IG80" s="3"/>
      <c r="IH80" s="3"/>
      <c r="II80" s="3"/>
      <c r="IJ80" s="3"/>
      <c r="IK80" s="3"/>
      <c r="IL80" s="3"/>
      <c r="IM80" s="3"/>
      <c r="IN80" s="3"/>
      <c r="IO80" s="3"/>
      <c r="IP80" s="3"/>
      <c r="IQ80" s="3"/>
      <c r="IR80" s="3"/>
    </row>
  </sheetData>
  <sheetProtection password="EE1F" sheet="1" objects="1" scenarios="1" selectLockedCells="1"/>
  <protectedRanges>
    <protectedRange sqref="M7 F12 I13:M13 F16 E17 I17:M17 F22:H52 L23:P52 C22:C52" name="Eingabebereich"/>
  </protectedRanges>
  <mergeCells count="48">
    <mergeCell ref="L21:P21"/>
    <mergeCell ref="B2:H2"/>
    <mergeCell ref="I2:J2"/>
    <mergeCell ref="K2:L2"/>
    <mergeCell ref="E5:H5"/>
    <mergeCell ref="M5:O5"/>
    <mergeCell ref="E7:H7"/>
    <mergeCell ref="M7:O7"/>
    <mergeCell ref="E17:F17"/>
    <mergeCell ref="C20:E20"/>
    <mergeCell ref="F20:H20"/>
    <mergeCell ref="I20:K20"/>
    <mergeCell ref="L20:P20"/>
    <mergeCell ref="L33:P33"/>
    <mergeCell ref="L22:P22"/>
    <mergeCell ref="L23:P23"/>
    <mergeCell ref="L24:P24"/>
    <mergeCell ref="L25:P25"/>
    <mergeCell ref="L26:P26"/>
    <mergeCell ref="L27:P27"/>
    <mergeCell ref="L28:P28"/>
    <mergeCell ref="L29:P29"/>
    <mergeCell ref="L30:P30"/>
    <mergeCell ref="L31:P31"/>
    <mergeCell ref="L32:P32"/>
    <mergeCell ref="L45:P45"/>
    <mergeCell ref="L34:P34"/>
    <mergeCell ref="L35:P35"/>
    <mergeCell ref="L36:P36"/>
    <mergeCell ref="L37:P37"/>
    <mergeCell ref="L38:P38"/>
    <mergeCell ref="L39:P39"/>
    <mergeCell ref="L52:P52"/>
    <mergeCell ref="K55:O55"/>
    <mergeCell ref="C60:G60"/>
    <mergeCell ref="L60:P60"/>
    <mergeCell ref="E9:O9"/>
    <mergeCell ref="L46:P46"/>
    <mergeCell ref="L47:P47"/>
    <mergeCell ref="L48:P48"/>
    <mergeCell ref="L49:P49"/>
    <mergeCell ref="L50:P50"/>
    <mergeCell ref="L51:P51"/>
    <mergeCell ref="L40:P40"/>
    <mergeCell ref="L41:P41"/>
    <mergeCell ref="L42:P42"/>
    <mergeCell ref="L43:P43"/>
    <mergeCell ref="L44:P44"/>
  </mergeCells>
  <conditionalFormatting sqref="L23:L39 L44:L52 C22:I52">
    <cfRule type="expression" dxfId="1924" priority="243" stopIfTrue="1">
      <formula>OR(($A22="Samstag"),($A22="Sonntag"),($AA22=TRUE()))</formula>
    </cfRule>
  </conditionalFormatting>
  <conditionalFormatting sqref="B22:B52">
    <cfRule type="expression" dxfId="1923" priority="119" stopIfTrue="1">
      <formula>$AA22=TRUE()</formula>
    </cfRule>
    <cfRule type="expression" dxfId="1922" priority="123" stopIfTrue="1">
      <formula>OR(($A22="Samstag"),($A22="Sonntag"))</formula>
    </cfRule>
    <cfRule type="expression" dxfId="1921" priority="124" stopIfTrue="1">
      <formula>AND($E$17&lt;&gt;"",$B22&gt;=$E$17)</formula>
    </cfRule>
  </conditionalFormatting>
  <conditionalFormatting sqref="F32:H32 L23:L39">
    <cfRule type="expression" dxfId="1920" priority="242" stopIfTrue="1">
      <formula>OR(($A23="Samstag"),($A23="Sonntag"))</formula>
    </cfRule>
  </conditionalFormatting>
  <conditionalFormatting sqref="F32:H32">
    <cfRule type="expression" dxfId="1919" priority="241" stopIfTrue="1">
      <formula>OR(($A32="Samstag"),($A32="Sonntag"))</formula>
    </cfRule>
  </conditionalFormatting>
  <conditionalFormatting sqref="F52:H52">
    <cfRule type="expression" dxfId="1918" priority="230" stopIfTrue="1">
      <formula>OR(($A52="Samstag"),($A52="Sonntag"))</formula>
    </cfRule>
  </conditionalFormatting>
  <conditionalFormatting sqref="F52:H52">
    <cfRule type="expression" dxfId="1917" priority="229" stopIfTrue="1">
      <formula>OR(($A52="Samstag"),($A52="Sonntag"))</formula>
    </cfRule>
  </conditionalFormatting>
  <conditionalFormatting sqref="F46:H46">
    <cfRule type="expression" dxfId="1916" priority="233" stopIfTrue="1">
      <formula>OR(($A46="Samstag"),($A46="Sonntag"))</formula>
    </cfRule>
  </conditionalFormatting>
  <conditionalFormatting sqref="F32:H32">
    <cfRule type="expression" dxfId="1915" priority="237" stopIfTrue="1">
      <formula>OR(($A32="Samstag"),($A32="Sonntag"))</formula>
    </cfRule>
  </conditionalFormatting>
  <conditionalFormatting sqref="F24:H25">
    <cfRule type="expression" dxfId="1914" priority="240" stopIfTrue="1">
      <formula>OR(($A24="Samstag"),($A24="Sonntag"))</formula>
    </cfRule>
  </conditionalFormatting>
  <conditionalFormatting sqref="F24:H24">
    <cfRule type="expression" dxfId="1913" priority="239" stopIfTrue="1">
      <formula>OR(($A24="Samstag"),($A24="Sonntag"))</formula>
    </cfRule>
  </conditionalFormatting>
  <conditionalFormatting sqref="F25:H25">
    <cfRule type="expression" dxfId="1912" priority="238" stopIfTrue="1">
      <formula>OR(($A25="Samstag"),($A25="Sonntag"))</formula>
    </cfRule>
  </conditionalFormatting>
  <conditionalFormatting sqref="F39:H39">
    <cfRule type="expression" dxfId="1911" priority="235" stopIfTrue="1">
      <formula>OR(($A39="Samstag"),($A39="Sonntag"))</formula>
    </cfRule>
  </conditionalFormatting>
  <conditionalFormatting sqref="F39:H39">
    <cfRule type="expression" dxfId="1910" priority="236" stopIfTrue="1">
      <formula>OR(($A39="Samstag"),($A39="Sonntag"))</formula>
    </cfRule>
  </conditionalFormatting>
  <conditionalFormatting sqref="F39:H39">
    <cfRule type="expression" dxfId="1909" priority="234" stopIfTrue="1">
      <formula>OR(($A39="Samstag"),($A39="Sonntag"))</formula>
    </cfRule>
  </conditionalFormatting>
  <conditionalFormatting sqref="F46:H46">
    <cfRule type="expression" dxfId="1908" priority="232" stopIfTrue="1">
      <formula>OR(($A46="Samstag"),($A46="Sonntag"))</formula>
    </cfRule>
  </conditionalFormatting>
  <conditionalFormatting sqref="F46:H46">
    <cfRule type="expression" dxfId="1907" priority="231" stopIfTrue="1">
      <formula>OR(($A46="Samstag"),($A46="Sonntag"))</formula>
    </cfRule>
  </conditionalFormatting>
  <conditionalFormatting sqref="F22:H52">
    <cfRule type="expression" dxfId="1906" priority="228" stopIfTrue="1">
      <formula>OR(($A22="Samstag"),($A22="Sonntag"))</formula>
    </cfRule>
  </conditionalFormatting>
  <conditionalFormatting sqref="F22:H52">
    <cfRule type="expression" dxfId="1905" priority="227" stopIfTrue="1">
      <formula>OR(($A22="Samstag"),($A22="Sonntag"))</formula>
    </cfRule>
  </conditionalFormatting>
  <conditionalFormatting sqref="G23">
    <cfRule type="expression" dxfId="1904" priority="226" stopIfTrue="1">
      <formula>OR(($A23="Samstag"),($A23="Sonntag"))</formula>
    </cfRule>
  </conditionalFormatting>
  <conditionalFormatting sqref="G23">
    <cfRule type="expression" dxfId="1903" priority="225" stopIfTrue="1">
      <formula>OR(($A23="Samstag"),($A23="Sonntag"))</formula>
    </cfRule>
  </conditionalFormatting>
  <conditionalFormatting sqref="F31:H31">
    <cfRule type="expression" dxfId="1902" priority="224" stopIfTrue="1">
      <formula>OR(($A31="Samstag"),($A31="Sonntag"))</formula>
    </cfRule>
  </conditionalFormatting>
  <conditionalFormatting sqref="F31:H31">
    <cfRule type="expression" dxfId="1901" priority="223" stopIfTrue="1">
      <formula>OR(($A31="Samstag"),($A31="Sonntag"))</formula>
    </cfRule>
  </conditionalFormatting>
  <conditionalFormatting sqref="F38:H38">
    <cfRule type="expression" dxfId="1900" priority="222" stopIfTrue="1">
      <formula>OR(($A38="Samstag"),($A38="Sonntag"))</formula>
    </cfRule>
  </conditionalFormatting>
  <conditionalFormatting sqref="F38:H38">
    <cfRule type="expression" dxfId="1899" priority="221" stopIfTrue="1">
      <formula>OR(($A38="Samstag"),($A38="Sonntag"))</formula>
    </cfRule>
  </conditionalFormatting>
  <conditionalFormatting sqref="F45:H45">
    <cfRule type="expression" dxfId="1898" priority="220" stopIfTrue="1">
      <formula>OR(($A45="Samstag"),($A45="Sonntag"))</formula>
    </cfRule>
  </conditionalFormatting>
  <conditionalFormatting sqref="F45:H45">
    <cfRule type="expression" dxfId="1897" priority="219" stopIfTrue="1">
      <formula>OR(($A45="Samstag"),($A45="Sonntag"))</formula>
    </cfRule>
  </conditionalFormatting>
  <conditionalFormatting sqref="G26:G30">
    <cfRule type="expression" dxfId="1896" priority="218" stopIfTrue="1">
      <formula>OR(($A26="Samstag"),($A26="Sonntag"))</formula>
    </cfRule>
  </conditionalFormatting>
  <conditionalFormatting sqref="G26:G30">
    <cfRule type="expression" dxfId="1895" priority="217" stopIfTrue="1">
      <formula>OR(($A26="Samstag"),($A26="Sonntag"))</formula>
    </cfRule>
  </conditionalFormatting>
  <conditionalFormatting sqref="G33:G37">
    <cfRule type="expression" dxfId="1894" priority="216" stopIfTrue="1">
      <formula>OR(($A33="Samstag"),($A33="Sonntag"))</formula>
    </cfRule>
  </conditionalFormatting>
  <conditionalFormatting sqref="G33:G37">
    <cfRule type="expression" dxfId="1893" priority="215" stopIfTrue="1">
      <formula>OR(($A33="Samstag"),($A33="Sonntag"))</formula>
    </cfRule>
  </conditionalFormatting>
  <conditionalFormatting sqref="G40:G44">
    <cfRule type="expression" dxfId="1892" priority="214" stopIfTrue="1">
      <formula>OR(($A40="Samstag"),($A40="Sonntag"))</formula>
    </cfRule>
  </conditionalFormatting>
  <conditionalFormatting sqref="G40:G44">
    <cfRule type="expression" dxfId="1891" priority="213" stopIfTrue="1">
      <formula>OR(($A40="Samstag"),($A40="Sonntag"))</formula>
    </cfRule>
  </conditionalFormatting>
  <conditionalFormatting sqref="G47:G51">
    <cfRule type="expression" dxfId="1890" priority="212" stopIfTrue="1">
      <formula>OR(($A47="Samstag"),($A47="Sonntag"))</formula>
    </cfRule>
  </conditionalFormatting>
  <conditionalFormatting sqref="G47:G51">
    <cfRule type="expression" dxfId="1889" priority="211" stopIfTrue="1">
      <formula>OR(($A47="Samstag"),($A47="Sonntag"))</formula>
    </cfRule>
  </conditionalFormatting>
  <conditionalFormatting sqref="F23:H23">
    <cfRule type="expression" dxfId="1888" priority="210" stopIfTrue="1">
      <formula>OR(($A23="Samstag"),($A23="Sonntag"))</formula>
    </cfRule>
  </conditionalFormatting>
  <conditionalFormatting sqref="F23:H23">
    <cfRule type="expression" dxfId="1887" priority="209" stopIfTrue="1">
      <formula>OR(($A23="Samstag"),($A23="Sonntag"))</formula>
    </cfRule>
  </conditionalFormatting>
  <conditionalFormatting sqref="F26:H30">
    <cfRule type="expression" dxfId="1886" priority="208" stopIfTrue="1">
      <formula>OR(($A26="Samstag"),($A26="Sonntag"))</formula>
    </cfRule>
  </conditionalFormatting>
  <conditionalFormatting sqref="F26:H30">
    <cfRule type="expression" dxfId="1885" priority="207" stopIfTrue="1">
      <formula>OR(($A26="Samstag"),($A26="Sonntag"))</formula>
    </cfRule>
  </conditionalFormatting>
  <conditionalFormatting sqref="F33:H37">
    <cfRule type="expression" dxfId="1884" priority="206" stopIfTrue="1">
      <formula>OR(($A33="Samstag"),($A33="Sonntag"))</formula>
    </cfRule>
  </conditionalFormatting>
  <conditionalFormatting sqref="F33:H37">
    <cfRule type="expression" dxfId="1883" priority="205" stopIfTrue="1">
      <formula>OR(($A33="Samstag"),($A33="Sonntag"))</formula>
    </cfRule>
  </conditionalFormatting>
  <conditionalFormatting sqref="F40:H44">
    <cfRule type="expression" dxfId="1882" priority="204" stopIfTrue="1">
      <formula>OR(($A40="Samstag"),($A40="Sonntag"))</formula>
    </cfRule>
  </conditionalFormatting>
  <conditionalFormatting sqref="F40:H44">
    <cfRule type="expression" dxfId="1881" priority="203" stopIfTrue="1">
      <formula>OR(($A40="Samstag"),($A40="Sonntag"))</formula>
    </cfRule>
  </conditionalFormatting>
  <conditionalFormatting sqref="H40:H44">
    <cfRule type="expression" dxfId="1880" priority="194" stopIfTrue="1">
      <formula>OR(($A40="Samstag"),($A40="Sonntag"))</formula>
    </cfRule>
  </conditionalFormatting>
  <conditionalFormatting sqref="H40:H44">
    <cfRule type="expression" dxfId="1879" priority="193" stopIfTrue="1">
      <formula>OR(($A40="Samstag"),($A40="Sonntag"))</formula>
    </cfRule>
  </conditionalFormatting>
  <conditionalFormatting sqref="F47:H51">
    <cfRule type="expression" dxfId="1878" priority="202" stopIfTrue="1">
      <formula>OR(($A47="Samstag"),($A47="Sonntag"))</formula>
    </cfRule>
  </conditionalFormatting>
  <conditionalFormatting sqref="F47:H51">
    <cfRule type="expression" dxfId="1877" priority="201" stopIfTrue="1">
      <formula>OR(($A47="Samstag"),($A47="Sonntag"))</formula>
    </cfRule>
  </conditionalFormatting>
  <conditionalFormatting sqref="H23">
    <cfRule type="expression" dxfId="1876" priority="200" stopIfTrue="1">
      <formula>OR(($A23="Samstag"),($A23="Sonntag"))</formula>
    </cfRule>
  </conditionalFormatting>
  <conditionalFormatting sqref="H23">
    <cfRule type="expression" dxfId="1875" priority="199" stopIfTrue="1">
      <formula>OR(($A23="Samstag"),($A23="Sonntag"))</formula>
    </cfRule>
  </conditionalFormatting>
  <conditionalFormatting sqref="H26:H30">
    <cfRule type="expression" dxfId="1874" priority="198" stopIfTrue="1">
      <formula>OR(($A26="Samstag"),($A26="Sonntag"))</formula>
    </cfRule>
  </conditionalFormatting>
  <conditionalFormatting sqref="H26:H30">
    <cfRule type="expression" dxfId="1873" priority="197" stopIfTrue="1">
      <formula>OR(($A26="Samstag"),($A26="Sonntag"))</formula>
    </cfRule>
  </conditionalFormatting>
  <conditionalFormatting sqref="H33:H37">
    <cfRule type="expression" dxfId="1872" priority="196" stopIfTrue="1">
      <formula>OR(($A33="Samstag"),($A33="Sonntag"))</formula>
    </cfRule>
  </conditionalFormatting>
  <conditionalFormatting sqref="H33:H37">
    <cfRule type="expression" dxfId="1871" priority="195" stopIfTrue="1">
      <formula>OR(($A33="Samstag"),($A33="Sonntag"))</formula>
    </cfRule>
  </conditionalFormatting>
  <conditionalFormatting sqref="H47:H51">
    <cfRule type="expression" dxfId="1870" priority="192" stopIfTrue="1">
      <formula>OR(($A47="Samstag"),($A47="Sonntag"))</formula>
    </cfRule>
  </conditionalFormatting>
  <conditionalFormatting sqref="H47:H51">
    <cfRule type="expression" dxfId="1869" priority="191" stopIfTrue="1">
      <formula>OR(($A47="Samstag"),($A47="Sonntag"))</formula>
    </cfRule>
  </conditionalFormatting>
  <conditionalFormatting sqref="I22:I52">
    <cfRule type="expression" dxfId="1868" priority="176" stopIfTrue="1">
      <formula>OR(($A22="Samstag"),($A22="Sonntag"))</formula>
    </cfRule>
  </conditionalFormatting>
  <conditionalFormatting sqref="I22:I52">
    <cfRule type="expression" dxfId="1867" priority="175" stopIfTrue="1">
      <formula>OR(($A22="Samstag"),($A22="Sonntag"))</formula>
    </cfRule>
  </conditionalFormatting>
  <conditionalFormatting sqref="N13 N17">
    <cfRule type="cellIs" dxfId="1866" priority="125" stopIfTrue="1" operator="equal">
      <formula>0</formula>
    </cfRule>
  </conditionalFormatting>
  <conditionalFormatting sqref="N13">
    <cfRule type="cellIs" dxfId="1865" priority="245" stopIfTrue="1" operator="equal">
      <formula>$F$12</formula>
    </cfRule>
    <cfRule type="cellIs" dxfId="1864" priority="246" stopIfTrue="1" operator="notEqual">
      <formula>$F$12</formula>
    </cfRule>
  </conditionalFormatting>
  <conditionalFormatting sqref="N17">
    <cfRule type="cellIs" dxfId="1863" priority="126" stopIfTrue="1" operator="notEqual">
      <formula>$F$16</formula>
    </cfRule>
    <cfRule type="cellIs" dxfId="1862" priority="244" stopIfTrue="1" operator="equal">
      <formula>$F$16</formula>
    </cfRule>
  </conditionalFormatting>
  <conditionalFormatting sqref="I23:I52">
    <cfRule type="expression" dxfId="1861" priority="122" stopIfTrue="1">
      <formula>OR(($A23="Samstag"),($A23="Sonntag"))</formula>
    </cfRule>
  </conditionalFormatting>
  <conditionalFormatting sqref="I23:I52">
    <cfRule type="expression" dxfId="1860" priority="121" stopIfTrue="1">
      <formula>OR(($A23="Samstag"),($A23="Sonntag"))</formula>
    </cfRule>
  </conditionalFormatting>
  <conditionalFormatting sqref="K55:N55">
    <cfRule type="expression" dxfId="1859" priority="120" stopIfTrue="1">
      <formula>OR(($A55="Samstag"),($A55="Sonntag"))</formula>
    </cfRule>
  </conditionalFormatting>
  <conditionalFormatting sqref="G32">
    <cfRule type="expression" dxfId="1858" priority="118" stopIfTrue="1">
      <formula>OR(($A32="Samstag"),($A32="Sonntag"))</formula>
    </cfRule>
  </conditionalFormatting>
  <conditionalFormatting sqref="G32">
    <cfRule type="expression" dxfId="1857" priority="117" stopIfTrue="1">
      <formula>OR(($A32="Samstag"),($A32="Sonntag"))</formula>
    </cfRule>
  </conditionalFormatting>
  <conditionalFormatting sqref="G52">
    <cfRule type="expression" dxfId="1856" priority="106" stopIfTrue="1">
      <formula>OR(($A52="Samstag"),($A52="Sonntag"))</formula>
    </cfRule>
  </conditionalFormatting>
  <conditionalFormatting sqref="G52">
    <cfRule type="expression" dxfId="1855" priority="105" stopIfTrue="1">
      <formula>OR(($A52="Samstag"),($A52="Sonntag"))</formula>
    </cfRule>
  </conditionalFormatting>
  <conditionalFormatting sqref="G46">
    <cfRule type="expression" dxfId="1854" priority="109" stopIfTrue="1">
      <formula>OR(($A46="Samstag"),($A46="Sonntag"))</formula>
    </cfRule>
  </conditionalFormatting>
  <conditionalFormatting sqref="G32">
    <cfRule type="expression" dxfId="1853" priority="113" stopIfTrue="1">
      <formula>OR(($A32="Samstag"),($A32="Sonntag"))</formula>
    </cfRule>
  </conditionalFormatting>
  <conditionalFormatting sqref="G24:G25">
    <cfRule type="expression" dxfId="1852" priority="116" stopIfTrue="1">
      <formula>OR(($A24="Samstag"),($A24="Sonntag"))</formula>
    </cfRule>
  </conditionalFormatting>
  <conditionalFormatting sqref="G24">
    <cfRule type="expression" dxfId="1851" priority="115" stopIfTrue="1">
      <formula>OR(($A24="Samstag"),($A24="Sonntag"))</formula>
    </cfRule>
  </conditionalFormatting>
  <conditionalFormatting sqref="G25">
    <cfRule type="expression" dxfId="1850" priority="114" stopIfTrue="1">
      <formula>OR(($A25="Samstag"),($A25="Sonntag"))</formula>
    </cfRule>
  </conditionalFormatting>
  <conditionalFormatting sqref="G39">
    <cfRule type="expression" dxfId="1849" priority="111" stopIfTrue="1">
      <formula>OR(($A39="Samstag"),($A39="Sonntag"))</formula>
    </cfRule>
  </conditionalFormatting>
  <conditionalFormatting sqref="G39">
    <cfRule type="expression" dxfId="1848" priority="112" stopIfTrue="1">
      <formula>OR(($A39="Samstag"),($A39="Sonntag"))</formula>
    </cfRule>
  </conditionalFormatting>
  <conditionalFormatting sqref="G39">
    <cfRule type="expression" dxfId="1847" priority="110" stopIfTrue="1">
      <formula>OR(($A39="Samstag"),($A39="Sonntag"))</formula>
    </cfRule>
  </conditionalFormatting>
  <conditionalFormatting sqref="G46">
    <cfRule type="expression" dxfId="1846" priority="108" stopIfTrue="1">
      <formula>OR(($A46="Samstag"),($A46="Sonntag"))</formula>
    </cfRule>
  </conditionalFormatting>
  <conditionalFormatting sqref="G46">
    <cfRule type="expression" dxfId="1845" priority="107" stopIfTrue="1">
      <formula>OR(($A46="Samstag"),($A46="Sonntag"))</formula>
    </cfRule>
  </conditionalFormatting>
  <conditionalFormatting sqref="F22:H52">
    <cfRule type="expression" dxfId="1844" priority="104" stopIfTrue="1">
      <formula>OR(($A22="Samstag"),($A22="Sonntag"))</formula>
    </cfRule>
  </conditionalFormatting>
  <conditionalFormatting sqref="F22:H52">
    <cfRule type="expression" dxfId="1843" priority="103" stopIfTrue="1">
      <formula>OR(($A22="Samstag"),($A22="Sonntag"))</formula>
    </cfRule>
  </conditionalFormatting>
  <conditionalFormatting sqref="G31">
    <cfRule type="expression" dxfId="1842" priority="102" stopIfTrue="1">
      <formula>OR(($A31="Samstag"),($A31="Sonntag"))</formula>
    </cfRule>
  </conditionalFormatting>
  <conditionalFormatting sqref="G31">
    <cfRule type="expression" dxfId="1841" priority="101" stopIfTrue="1">
      <formula>OR(($A31="Samstag"),($A31="Sonntag"))</formula>
    </cfRule>
  </conditionalFormatting>
  <conditionalFormatting sqref="G38">
    <cfRule type="expression" dxfId="1840" priority="100" stopIfTrue="1">
      <formula>OR(($A38="Samstag"),($A38="Sonntag"))</formula>
    </cfRule>
  </conditionalFormatting>
  <conditionalFormatting sqref="G38">
    <cfRule type="expression" dxfId="1839" priority="99" stopIfTrue="1">
      <formula>OR(($A38="Samstag"),($A38="Sonntag"))</formula>
    </cfRule>
  </conditionalFormatting>
  <conditionalFormatting sqref="G45">
    <cfRule type="expression" dxfId="1838" priority="98" stopIfTrue="1">
      <formula>OR(($A45="Samstag"),($A45="Sonntag"))</formula>
    </cfRule>
  </conditionalFormatting>
  <conditionalFormatting sqref="G45">
    <cfRule type="expression" dxfId="1837" priority="97" stopIfTrue="1">
      <formula>OR(($A45="Samstag"),($A45="Sonntag"))</formula>
    </cfRule>
  </conditionalFormatting>
  <conditionalFormatting sqref="G40:G44">
    <cfRule type="expression" dxfId="1836" priority="90" stopIfTrue="1">
      <formula>OR(($A40="Samstag"),($A40="Sonntag"))</formula>
    </cfRule>
  </conditionalFormatting>
  <conditionalFormatting sqref="G40:G44">
    <cfRule type="expression" dxfId="1835" priority="89" stopIfTrue="1">
      <formula>OR(($A40="Samstag"),($A40="Sonntag"))</formula>
    </cfRule>
  </conditionalFormatting>
  <conditionalFormatting sqref="G23">
    <cfRule type="expression" dxfId="1834" priority="96" stopIfTrue="1">
      <formula>OR(($A23="Samstag"),($A23="Sonntag"))</formula>
    </cfRule>
  </conditionalFormatting>
  <conditionalFormatting sqref="G23">
    <cfRule type="expression" dxfId="1833" priority="95" stopIfTrue="1">
      <formula>OR(($A23="Samstag"),($A23="Sonntag"))</formula>
    </cfRule>
  </conditionalFormatting>
  <conditionalFormatting sqref="G26:G30">
    <cfRule type="expression" dxfId="1832" priority="94" stopIfTrue="1">
      <formula>OR(($A26="Samstag"),($A26="Sonntag"))</formula>
    </cfRule>
  </conditionalFormatting>
  <conditionalFormatting sqref="G26:G30">
    <cfRule type="expression" dxfId="1831" priority="93" stopIfTrue="1">
      <formula>OR(($A26="Samstag"),($A26="Sonntag"))</formula>
    </cfRule>
  </conditionalFormatting>
  <conditionalFormatting sqref="G33:G37">
    <cfRule type="expression" dxfId="1830" priority="92" stopIfTrue="1">
      <formula>OR(($A33="Samstag"),($A33="Sonntag"))</formula>
    </cfRule>
  </conditionalFormatting>
  <conditionalFormatting sqref="G33:G37">
    <cfRule type="expression" dxfId="1829" priority="91" stopIfTrue="1">
      <formula>OR(($A33="Samstag"),($A33="Sonntag"))</formula>
    </cfRule>
  </conditionalFormatting>
  <conditionalFormatting sqref="G47:G51">
    <cfRule type="expression" dxfId="1828" priority="88" stopIfTrue="1">
      <formula>OR(($A47="Samstag"),($A47="Sonntag"))</formula>
    </cfRule>
  </conditionalFormatting>
  <conditionalFormatting sqref="G47:G51">
    <cfRule type="expression" dxfId="1827" priority="87" stopIfTrue="1">
      <formula>OR(($A47="Samstag"),($A47="Sonntag"))</formula>
    </cfRule>
  </conditionalFormatting>
  <conditionalFormatting sqref="H32">
    <cfRule type="expression" dxfId="1826" priority="86" stopIfTrue="1">
      <formula>OR(($A32="Samstag"),($A32="Sonntag"))</formula>
    </cfRule>
  </conditionalFormatting>
  <conditionalFormatting sqref="H32">
    <cfRule type="expression" dxfId="1825" priority="85" stopIfTrue="1">
      <formula>OR(($A32="Samstag"),($A32="Sonntag"))</formula>
    </cfRule>
  </conditionalFormatting>
  <conditionalFormatting sqref="H52">
    <cfRule type="expression" dxfId="1824" priority="74" stopIfTrue="1">
      <formula>OR(($A52="Samstag"),($A52="Sonntag"))</formula>
    </cfRule>
  </conditionalFormatting>
  <conditionalFormatting sqref="H52">
    <cfRule type="expression" dxfId="1823" priority="73" stopIfTrue="1">
      <formula>OR(($A52="Samstag"),($A52="Sonntag"))</formula>
    </cfRule>
  </conditionalFormatting>
  <conditionalFormatting sqref="H46">
    <cfRule type="expression" dxfId="1822" priority="77" stopIfTrue="1">
      <formula>OR(($A46="Samstag"),($A46="Sonntag"))</formula>
    </cfRule>
  </conditionalFormatting>
  <conditionalFormatting sqref="H32">
    <cfRule type="expression" dxfId="1821" priority="81" stopIfTrue="1">
      <formula>OR(($A32="Samstag"),($A32="Sonntag"))</formula>
    </cfRule>
  </conditionalFormatting>
  <conditionalFormatting sqref="H24:H25">
    <cfRule type="expression" dxfId="1820" priority="84" stopIfTrue="1">
      <formula>OR(($A24="Samstag"),($A24="Sonntag"))</formula>
    </cfRule>
  </conditionalFormatting>
  <conditionalFormatting sqref="H24">
    <cfRule type="expression" dxfId="1819" priority="83" stopIfTrue="1">
      <formula>OR(($A24="Samstag"),($A24="Sonntag"))</formula>
    </cfRule>
  </conditionalFormatting>
  <conditionalFormatting sqref="H25">
    <cfRule type="expression" dxfId="1818" priority="82" stopIfTrue="1">
      <formula>OR(($A25="Samstag"),($A25="Sonntag"))</formula>
    </cfRule>
  </conditionalFormatting>
  <conditionalFormatting sqref="H39">
    <cfRule type="expression" dxfId="1817" priority="79" stopIfTrue="1">
      <formula>OR(($A39="Samstag"),($A39="Sonntag"))</formula>
    </cfRule>
  </conditionalFormatting>
  <conditionalFormatting sqref="H39">
    <cfRule type="expression" dxfId="1816" priority="80" stopIfTrue="1">
      <formula>OR(($A39="Samstag"),($A39="Sonntag"))</formula>
    </cfRule>
  </conditionalFormatting>
  <conditionalFormatting sqref="H39">
    <cfRule type="expression" dxfId="1815" priority="78" stopIfTrue="1">
      <formula>OR(($A39="Samstag"),($A39="Sonntag"))</formula>
    </cfRule>
  </conditionalFormatting>
  <conditionalFormatting sqref="H46">
    <cfRule type="expression" dxfId="1814" priority="76" stopIfTrue="1">
      <formula>OR(($A46="Samstag"),($A46="Sonntag"))</formula>
    </cfRule>
  </conditionalFormatting>
  <conditionalFormatting sqref="H46">
    <cfRule type="expression" dxfId="1813" priority="75" stopIfTrue="1">
      <formula>OR(($A46="Samstag"),($A46="Sonntag"))</formula>
    </cfRule>
  </conditionalFormatting>
  <conditionalFormatting sqref="H22:H52">
    <cfRule type="expression" dxfId="1812" priority="72" stopIfTrue="1">
      <formula>OR(($A22="Samstag"),($A22="Sonntag"))</formula>
    </cfRule>
  </conditionalFormatting>
  <conditionalFormatting sqref="H22:H52">
    <cfRule type="expression" dxfId="1811" priority="71" stopIfTrue="1">
      <formula>OR(($A22="Samstag"),($A22="Sonntag"))</formula>
    </cfRule>
  </conditionalFormatting>
  <conditionalFormatting sqref="H31">
    <cfRule type="expression" dxfId="1810" priority="70" stopIfTrue="1">
      <formula>OR(($A31="Samstag"),($A31="Sonntag"))</formula>
    </cfRule>
  </conditionalFormatting>
  <conditionalFormatting sqref="H31">
    <cfRule type="expression" dxfId="1809" priority="69" stopIfTrue="1">
      <formula>OR(($A31="Samstag"),($A31="Sonntag"))</formula>
    </cfRule>
  </conditionalFormatting>
  <conditionalFormatting sqref="H38">
    <cfRule type="expression" dxfId="1808" priority="68" stopIfTrue="1">
      <formula>OR(($A38="Samstag"),($A38="Sonntag"))</formula>
    </cfRule>
  </conditionalFormatting>
  <conditionalFormatting sqref="H38">
    <cfRule type="expression" dxfId="1807" priority="67" stopIfTrue="1">
      <formula>OR(($A38="Samstag"),($A38="Sonntag"))</formula>
    </cfRule>
  </conditionalFormatting>
  <conditionalFormatting sqref="H45">
    <cfRule type="expression" dxfId="1806" priority="66" stopIfTrue="1">
      <formula>OR(($A45="Samstag"),($A45="Sonntag"))</formula>
    </cfRule>
  </conditionalFormatting>
  <conditionalFormatting sqref="H45">
    <cfRule type="expression" dxfId="1805" priority="65" stopIfTrue="1">
      <formula>OR(($A45="Samstag"),($A45="Sonntag"))</formula>
    </cfRule>
  </conditionalFormatting>
  <conditionalFormatting sqref="H40:H44">
    <cfRule type="expression" dxfId="1804" priority="58" stopIfTrue="1">
      <formula>OR(($A40="Samstag"),($A40="Sonntag"))</formula>
    </cfRule>
  </conditionalFormatting>
  <conditionalFormatting sqref="H40:H44">
    <cfRule type="expression" dxfId="1803" priority="57" stopIfTrue="1">
      <formula>OR(($A40="Samstag"),($A40="Sonntag"))</formula>
    </cfRule>
  </conditionalFormatting>
  <conditionalFormatting sqref="H23">
    <cfRule type="expression" dxfId="1802" priority="64" stopIfTrue="1">
      <formula>OR(($A23="Samstag"),($A23="Sonntag"))</formula>
    </cfRule>
  </conditionalFormatting>
  <conditionalFormatting sqref="H23">
    <cfRule type="expression" dxfId="1801" priority="63" stopIfTrue="1">
      <formula>OR(($A23="Samstag"),($A23="Sonntag"))</formula>
    </cfRule>
  </conditionalFormatting>
  <conditionalFormatting sqref="H26:H30">
    <cfRule type="expression" dxfId="1800" priority="62" stopIfTrue="1">
      <formula>OR(($A26="Samstag"),($A26="Sonntag"))</formula>
    </cfRule>
  </conditionalFormatting>
  <conditionalFormatting sqref="H26:H30">
    <cfRule type="expression" dxfId="1799" priority="61" stopIfTrue="1">
      <formula>OR(($A26="Samstag"),($A26="Sonntag"))</formula>
    </cfRule>
  </conditionalFormatting>
  <conditionalFormatting sqref="H33:H37">
    <cfRule type="expression" dxfId="1798" priority="60" stopIfTrue="1">
      <formula>OR(($A33="Samstag"),($A33="Sonntag"))</formula>
    </cfRule>
  </conditionalFormatting>
  <conditionalFormatting sqref="H33:H37">
    <cfRule type="expression" dxfId="1797" priority="59" stopIfTrue="1">
      <formula>OR(($A33="Samstag"),($A33="Sonntag"))</formula>
    </cfRule>
  </conditionalFormatting>
  <conditionalFormatting sqref="H47:H51">
    <cfRule type="expression" dxfId="1796" priority="56" stopIfTrue="1">
      <formula>OR(($A47="Samstag"),($A47="Sonntag"))</formula>
    </cfRule>
  </conditionalFormatting>
  <conditionalFormatting sqref="H47:H51">
    <cfRule type="expression" dxfId="1795" priority="55" stopIfTrue="1">
      <formula>OR(($A47="Samstag"),($A47="Sonntag"))</formula>
    </cfRule>
  </conditionalFormatting>
  <conditionalFormatting sqref="F23:H52">
    <cfRule type="expression" dxfId="1794" priority="54" stopIfTrue="1">
      <formula>OR(($A23="Samstag"),($A23="Sonntag"))</formula>
    </cfRule>
  </conditionalFormatting>
  <conditionalFormatting sqref="F23:H52">
    <cfRule type="expression" dxfId="1793" priority="53" stopIfTrue="1">
      <formula>OR(($A23="Samstag"),($A23="Sonntag"))</formula>
    </cfRule>
  </conditionalFormatting>
  <conditionalFormatting sqref="I22:I52">
    <cfRule type="expression" dxfId="1792" priority="38">
      <formula>(I22&gt;10)</formula>
    </cfRule>
    <cfRule type="expression" dxfId="1791" priority="49" stopIfTrue="1">
      <formula>OR(($A22="Samstag"),($A22="Sonntag"))</formula>
    </cfRule>
    <cfRule type="expression" dxfId="1790" priority="50" stopIfTrue="1">
      <formula>OR(($A22="Samstag"),($A22="Sonntag"))</formula>
    </cfRule>
    <cfRule type="expression" dxfId="1789" priority="52" stopIfTrue="1">
      <formula>OR(($A22="Samstag"),($A22="Sonntag"))</formula>
    </cfRule>
  </conditionalFormatting>
  <conditionalFormatting sqref="I22:I52">
    <cfRule type="expression" dxfId="1788" priority="51" stopIfTrue="1">
      <formula>OR(($A22="Samstag"),($A22="Sonntag"))</formula>
    </cfRule>
  </conditionalFormatting>
  <conditionalFormatting sqref="K56:P59">
    <cfRule type="expression" dxfId="1787" priority="48">
      <formula>OR(ISERROR($K$55),($K$55&gt;""))</formula>
    </cfRule>
  </conditionalFormatting>
  <conditionalFormatting sqref="L44:L52">
    <cfRule type="expression" dxfId="1786" priority="44" stopIfTrue="1">
      <formula>OR(($A44="Samstag"),($A44="Sonntag"))</formula>
    </cfRule>
  </conditionalFormatting>
  <conditionalFormatting sqref="L44:L52">
    <cfRule type="expression" dxfId="1785" priority="47" stopIfTrue="1">
      <formula>OR(($A44="Samstag"),($A44="Sonntag"))</formula>
    </cfRule>
  </conditionalFormatting>
  <conditionalFormatting sqref="L44:L52">
    <cfRule type="expression" dxfId="1784" priority="46" stopIfTrue="1">
      <formula>OR(($A44="Samstag"),($A44="Sonntag"))</formula>
    </cfRule>
  </conditionalFormatting>
  <conditionalFormatting sqref="L44:L52">
    <cfRule type="expression" dxfId="1783" priority="45" stopIfTrue="1">
      <formula>OR(($A44="Samstag"),($A44="Sonntag"))</formula>
    </cfRule>
  </conditionalFormatting>
  <conditionalFormatting sqref="L22">
    <cfRule type="expression" dxfId="1782" priority="43" stopIfTrue="1">
      <formula>OR(($A22="Samstag"),($A22="Sonntag"),($AA22=TRUE()))</formula>
    </cfRule>
  </conditionalFormatting>
  <conditionalFormatting sqref="L22">
    <cfRule type="expression" dxfId="1781" priority="42" stopIfTrue="1">
      <formula>OR(($A22="Samstag"),($A22="Sonntag"))</formula>
    </cfRule>
  </conditionalFormatting>
  <conditionalFormatting sqref="L40:L43">
    <cfRule type="expression" dxfId="1780" priority="41" stopIfTrue="1">
      <formula>OR(($A40="Samstag"),($A40="Sonntag"),($AA40=TRUE()))</formula>
    </cfRule>
  </conditionalFormatting>
  <conditionalFormatting sqref="L40:L43">
    <cfRule type="expression" dxfId="1779" priority="40" stopIfTrue="1">
      <formula>OR(($A40="Samstag"),($A40="Sonntag"))</formula>
    </cfRule>
  </conditionalFormatting>
  <conditionalFormatting sqref="G22:G52">
    <cfRule type="expression" dxfId="1778" priority="39">
      <formula>OR(AND(I22&gt;6,G22&lt;TIME(0,30,0)),AND(I22&gt;9,G22&lt;TIME(0,45,0)))</formula>
    </cfRule>
  </conditionalFormatting>
  <conditionalFormatting sqref="J22:K52">
    <cfRule type="expression" dxfId="1777" priority="37" stopIfTrue="1">
      <formula>OR(($A22="Samstag"),($A22="Sonntag"),($AA22=TRUE()))</formula>
    </cfRule>
  </conditionalFormatting>
  <conditionalFormatting sqref="J22:J52">
    <cfRule type="expression" dxfId="1776" priority="36" stopIfTrue="1">
      <formula>OR(($A22="Samstag"),($A22="Sonntag"))</formula>
    </cfRule>
  </conditionalFormatting>
  <conditionalFormatting sqref="J22:J52">
    <cfRule type="expression" dxfId="1775" priority="35" stopIfTrue="1">
      <formula>OR(($A22="Samstag"),($A22="Sonntag"))</formula>
    </cfRule>
  </conditionalFormatting>
  <conditionalFormatting sqref="K32">
    <cfRule type="expression" dxfId="1774" priority="34" stopIfTrue="1">
      <formula>OR(($A32="Samstag"),($A32="Sonntag"))</formula>
    </cfRule>
  </conditionalFormatting>
  <conditionalFormatting sqref="K32">
    <cfRule type="expression" dxfId="1773" priority="33" stopIfTrue="1">
      <formula>OR(($A32="Samstag"),($A32="Sonntag"))</formula>
    </cfRule>
  </conditionalFormatting>
  <conditionalFormatting sqref="K52">
    <cfRule type="expression" dxfId="1772" priority="22" stopIfTrue="1">
      <formula>OR(($A52="Samstag"),($A52="Sonntag"))</formula>
    </cfRule>
  </conditionalFormatting>
  <conditionalFormatting sqref="K52">
    <cfRule type="expression" dxfId="1771" priority="21" stopIfTrue="1">
      <formula>OR(($A52="Samstag"),($A52="Sonntag"))</formula>
    </cfRule>
  </conditionalFormatting>
  <conditionalFormatting sqref="K46">
    <cfRule type="expression" dxfId="1770" priority="25" stopIfTrue="1">
      <formula>OR(($A46="Samstag"),($A46="Sonntag"))</formula>
    </cfRule>
  </conditionalFormatting>
  <conditionalFormatting sqref="K32">
    <cfRule type="expression" dxfId="1769" priority="29" stopIfTrue="1">
      <formula>OR(($A32="Samstag"),($A32="Sonntag"))</formula>
    </cfRule>
  </conditionalFormatting>
  <conditionalFormatting sqref="K24:K25">
    <cfRule type="expression" dxfId="1768" priority="32" stopIfTrue="1">
      <formula>OR(($A24="Samstag"),($A24="Sonntag"))</formula>
    </cfRule>
  </conditionalFormatting>
  <conditionalFormatting sqref="K24">
    <cfRule type="expression" dxfId="1767" priority="31" stopIfTrue="1">
      <formula>OR(($A24="Samstag"),($A24="Sonntag"))</formula>
    </cfRule>
  </conditionalFormatting>
  <conditionalFormatting sqref="K25">
    <cfRule type="expression" dxfId="1766" priority="30" stopIfTrue="1">
      <formula>OR(($A25="Samstag"),($A25="Sonntag"))</formula>
    </cfRule>
  </conditionalFormatting>
  <conditionalFormatting sqref="K39">
    <cfRule type="expression" dxfId="1765" priority="27" stopIfTrue="1">
      <formula>OR(($A39="Samstag"),($A39="Sonntag"))</formula>
    </cfRule>
  </conditionalFormatting>
  <conditionalFormatting sqref="K39">
    <cfRule type="expression" dxfId="1764" priority="28" stopIfTrue="1">
      <formula>OR(($A39="Samstag"),($A39="Sonntag"))</formula>
    </cfRule>
  </conditionalFormatting>
  <conditionalFormatting sqref="K39">
    <cfRule type="expression" dxfId="1763" priority="26" stopIfTrue="1">
      <formula>OR(($A39="Samstag"),($A39="Sonntag"))</formula>
    </cfRule>
  </conditionalFormatting>
  <conditionalFormatting sqref="K46">
    <cfRule type="expression" dxfId="1762" priority="24" stopIfTrue="1">
      <formula>OR(($A46="Samstag"),($A46="Sonntag"))</formula>
    </cfRule>
  </conditionalFormatting>
  <conditionalFormatting sqref="K46">
    <cfRule type="expression" dxfId="1761" priority="23" stopIfTrue="1">
      <formula>OR(($A46="Samstag"),($A46="Sonntag"))</formula>
    </cfRule>
  </conditionalFormatting>
  <conditionalFormatting sqref="K22:K52">
    <cfRule type="expression" dxfId="1760" priority="20" stopIfTrue="1">
      <formula>OR(($A22="Samstag"),($A22="Sonntag"))</formula>
    </cfRule>
  </conditionalFormatting>
  <conditionalFormatting sqref="K22:K52">
    <cfRule type="expression" dxfId="1759" priority="19" stopIfTrue="1">
      <formula>OR(($A22="Samstag"),($A22="Sonntag"))</formula>
    </cfRule>
  </conditionalFormatting>
  <conditionalFormatting sqref="K31">
    <cfRule type="expression" dxfId="1758" priority="18" stopIfTrue="1">
      <formula>OR(($A31="Samstag"),($A31="Sonntag"))</formula>
    </cfRule>
  </conditionalFormatting>
  <conditionalFormatting sqref="K31">
    <cfRule type="expression" dxfId="1757" priority="17" stopIfTrue="1">
      <formula>OR(($A31="Samstag"),($A31="Sonntag"))</formula>
    </cfRule>
  </conditionalFormatting>
  <conditionalFormatting sqref="K38">
    <cfRule type="expression" dxfId="1756" priority="16" stopIfTrue="1">
      <formula>OR(($A38="Samstag"),($A38="Sonntag"))</formula>
    </cfRule>
  </conditionalFormatting>
  <conditionalFormatting sqref="K38">
    <cfRule type="expression" dxfId="1755" priority="15" stopIfTrue="1">
      <formula>OR(($A38="Samstag"),($A38="Sonntag"))</formula>
    </cfRule>
  </conditionalFormatting>
  <conditionalFormatting sqref="K45">
    <cfRule type="expression" dxfId="1754" priority="14" stopIfTrue="1">
      <formula>OR(($A45="Samstag"),($A45="Sonntag"))</formula>
    </cfRule>
  </conditionalFormatting>
  <conditionalFormatting sqref="K45">
    <cfRule type="expression" dxfId="1753" priority="13" stopIfTrue="1">
      <formula>OR(($A45="Samstag"),($A45="Sonntag"))</formula>
    </cfRule>
  </conditionalFormatting>
  <conditionalFormatting sqref="K40:K44">
    <cfRule type="expression" dxfId="1752" priority="6" stopIfTrue="1">
      <formula>OR(($A40="Samstag"),($A40="Sonntag"))</formula>
    </cfRule>
  </conditionalFormatting>
  <conditionalFormatting sqref="K40:K44">
    <cfRule type="expression" dxfId="1751" priority="5" stopIfTrue="1">
      <formula>OR(($A40="Samstag"),($A40="Sonntag"))</formula>
    </cfRule>
  </conditionalFormatting>
  <conditionalFormatting sqref="K23">
    <cfRule type="expression" dxfId="1750" priority="12" stopIfTrue="1">
      <formula>OR(($A23="Samstag"),($A23="Sonntag"))</formula>
    </cfRule>
  </conditionalFormatting>
  <conditionalFormatting sqref="K23">
    <cfRule type="expression" dxfId="1749" priority="11" stopIfTrue="1">
      <formula>OR(($A23="Samstag"),($A23="Sonntag"))</formula>
    </cfRule>
  </conditionalFormatting>
  <conditionalFormatting sqref="K26:K30">
    <cfRule type="expression" dxfId="1748" priority="10" stopIfTrue="1">
      <formula>OR(($A26="Samstag"),($A26="Sonntag"))</formula>
    </cfRule>
  </conditionalFormatting>
  <conditionalFormatting sqref="K26:K30">
    <cfRule type="expression" dxfId="1747" priority="9" stopIfTrue="1">
      <formula>OR(($A26="Samstag"),($A26="Sonntag"))</formula>
    </cfRule>
  </conditionalFormatting>
  <conditionalFormatting sqref="K33:K37">
    <cfRule type="expression" dxfId="1746" priority="8" stopIfTrue="1">
      <formula>OR(($A33="Samstag"),($A33="Sonntag"))</formula>
    </cfRule>
  </conditionalFormatting>
  <conditionalFormatting sqref="K33:K37">
    <cfRule type="expression" dxfId="1745" priority="7" stopIfTrue="1">
      <formula>OR(($A33="Samstag"),($A33="Sonntag"))</formula>
    </cfRule>
  </conditionalFormatting>
  <conditionalFormatting sqref="K47:K51">
    <cfRule type="expression" dxfId="1744" priority="4" stopIfTrue="1">
      <formula>OR(($A47="Samstag"),($A47="Sonntag"))</formula>
    </cfRule>
  </conditionalFormatting>
  <conditionalFormatting sqref="K47:K51">
    <cfRule type="expression" dxfId="1743" priority="3" stopIfTrue="1">
      <formula>OR(($A47="Samstag"),($A47="Sonntag"))</formula>
    </cfRule>
  </conditionalFormatting>
  <conditionalFormatting sqref="J22:J52">
    <cfRule type="expression" dxfId="1742" priority="2" stopIfTrue="1">
      <formula>OR(($A22="Samstag"),($A22="Sonntag"))</formula>
    </cfRule>
  </conditionalFormatting>
  <conditionalFormatting sqref="J22:J52">
    <cfRule type="expression" dxfId="1741" priority="1" stopIfTrue="1">
      <formula>OR(($A22="Samstag"),($A22="Sonntag"))</formula>
    </cfRule>
  </conditionalFormatting>
  <dataValidations count="8">
    <dataValidation type="decimal" allowBlank="1" showInputMessage="1" showErrorMessage="1" errorTitle="Eingabefehler" error="Bitte geben Sie eine positive Dezimalzahl ein." sqref="D22:D52">
      <formula1>0</formula1>
      <formula2>20</formula2>
    </dataValidation>
    <dataValidation type="decimal" allowBlank="1" showInputMessage="1" showErrorMessage="1" sqref="I16:M16 I12:M12">
      <formula1>$AA$35</formula1>
      <formula2>$AA$36</formula2>
    </dataValidation>
    <dataValidation showInputMessage="1" showErrorMessage="1" sqref="G10:I10"/>
    <dataValidation type="list" allowBlank="1" showInputMessage="1" showErrorMessage="1" sqref="E17:F17">
      <formula1>$B$22:$B$52</formula1>
    </dataValidation>
    <dataValidation type="list" showInputMessage="1" showErrorMessage="1" sqref="C22:C52">
      <formula1>Auswahlart</formula1>
    </dataValidation>
    <dataValidation type="custom" allowBlank="1" showInputMessage="1" showErrorMessage="1" errorTitle="Eingabefehler" error="Bitte geben Sie eine Uhrzeit ( hh:mm ) zwischen 0:00 und 23:59 ein. Bitte beachten Sie, dass eine Eingabe an Wochenenden sowie an Tagen mit dem Status &quot;bezahlt abwesend&quot; nicht möglich ist." sqref="F22:H52">
      <formula1>AND(ISNUMBER(F22),DAY($B22)&gt;0,NOT(AND($C22="BA",NOT($S$8))),NOT(AND(OR($A22="Sonntag",$A22="Samstag"),NOT($S$7))),F22&gt;=TIME(0,0,0),F22&lt;=TIME(23,59,59))</formula1>
    </dataValidation>
    <dataValidation type="decimal" allowBlank="1" showInputMessage="1" showErrorMessage="1" sqref="M7:O7">
      <formula1>-9999999</formula1>
      <formula2>9999999</formula2>
    </dataValidation>
    <dataValidation type="decimal" allowBlank="1" showInputMessage="1" showErrorMessage="1" sqref="F12 F16 I13:M13 I17:M17">
      <formula1>0</formula1>
      <formula2>45</formula2>
    </dataValidation>
  </dataValidations>
  <pageMargins left="0.43307086614173229" right="0.23622047244094491" top="0.89" bottom="0.54" header="0.4" footer="0.31496062992125984"/>
  <pageSetup paperSize="9" scale="65" orientation="portrait" r:id="rId1"/>
  <headerFooter differentFirst="1" alignWithMargins="0">
    <firstHeader>&amp;L&amp;G</firstHeader>
  </headerFooter>
  <drawing r:id="rId2"/>
  <legacyDrawing r:id="rId3"/>
  <legacyDrawingHF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pageSetUpPr fitToPage="1"/>
  </sheetPr>
  <dimension ref="A1:IR80"/>
  <sheetViews>
    <sheetView showGridLines="0" showRowColHeaders="0" topLeftCell="A25" zoomScaleNormal="100" zoomScaleSheetLayoutView="55" workbookViewId="0">
      <selection activeCell="H38" sqref="H38"/>
    </sheetView>
  </sheetViews>
  <sheetFormatPr baseColWidth="10" defaultColWidth="6.25" defaultRowHeight="0" customHeight="1" zeroHeight="1"/>
  <cols>
    <col min="1" max="1" width="5" style="6" customWidth="1"/>
    <col min="2" max="2" width="11.25" style="57" customWidth="1"/>
    <col min="3" max="3" width="7.5" style="57" customWidth="1"/>
    <col min="4" max="8" width="7.75" style="57" customWidth="1"/>
    <col min="9" max="13" width="8.125" style="57" customWidth="1"/>
    <col min="14" max="14" width="7.5" style="57" customWidth="1"/>
    <col min="15" max="15" width="10" style="57" customWidth="1"/>
    <col min="16" max="16" width="7.5" style="24" customWidth="1"/>
    <col min="17" max="17" width="5" style="24" customWidth="1"/>
    <col min="18" max="18" width="10.125" style="6" customWidth="1"/>
    <col min="19" max="19" width="7.5" style="6" bestFit="1" customWidth="1"/>
    <col min="20" max="20" width="8.5" style="6" bestFit="1" customWidth="1"/>
    <col min="21" max="21" width="7.25" style="6" bestFit="1" customWidth="1"/>
    <col min="22" max="22" width="7.75" style="6" bestFit="1" customWidth="1"/>
    <col min="23" max="23" width="7.5" style="6" bestFit="1" customWidth="1"/>
    <col min="24" max="24" width="8.125" style="6" bestFit="1" customWidth="1"/>
    <col min="25" max="25" width="7.25" style="6" bestFit="1" customWidth="1"/>
    <col min="26" max="26" width="7.25" style="6" customWidth="1"/>
    <col min="27" max="27" width="10.5" style="68" customWidth="1"/>
    <col min="28" max="28" width="9.875" style="68" customWidth="1"/>
    <col min="29" max="29" width="11.125" style="6" customWidth="1"/>
    <col min="30" max="31" width="11.125" style="95" customWidth="1"/>
    <col min="32" max="34" width="6.25" style="96" customWidth="1"/>
    <col min="35" max="252" width="6.25" style="3" customWidth="1"/>
    <col min="253" max="16384" width="6.25" style="3"/>
  </cols>
  <sheetData>
    <row r="1" spans="1:34" ht="11.25" customHeight="1">
      <c r="A1" s="3"/>
      <c r="B1" s="92"/>
      <c r="C1" s="92"/>
      <c r="D1" s="92"/>
      <c r="E1" s="92"/>
      <c r="F1" s="92"/>
      <c r="G1" s="92"/>
      <c r="H1" s="92"/>
      <c r="I1" s="92"/>
      <c r="J1" s="92"/>
      <c r="K1" s="92"/>
      <c r="L1" s="92"/>
      <c r="M1" s="92"/>
      <c r="N1" s="92"/>
      <c r="O1" s="92"/>
      <c r="P1" s="8"/>
      <c r="Q1" s="154"/>
      <c r="R1" s="154"/>
      <c r="S1" s="69"/>
      <c r="T1" s="69"/>
      <c r="U1" s="69"/>
      <c r="V1" s="3"/>
      <c r="W1" s="3"/>
      <c r="X1" s="3"/>
      <c r="Y1" s="3"/>
      <c r="Z1" s="3"/>
      <c r="AA1" s="3"/>
      <c r="AB1" s="3"/>
      <c r="AC1" s="3"/>
      <c r="AD1" s="3"/>
      <c r="AE1" s="3"/>
      <c r="AF1" s="3"/>
      <c r="AG1" s="3"/>
      <c r="AH1" s="3"/>
    </row>
    <row r="2" spans="1:34" ht="18.75" customHeight="1">
      <c r="A2" s="3"/>
      <c r="B2" s="221" t="s">
        <v>9</v>
      </c>
      <c r="C2" s="221"/>
      <c r="D2" s="221"/>
      <c r="E2" s="221"/>
      <c r="F2" s="221"/>
      <c r="G2" s="221"/>
      <c r="H2" s="221"/>
      <c r="I2" s="221" t="s">
        <v>33</v>
      </c>
      <c r="J2" s="221"/>
      <c r="K2" s="278">
        <f>Übersicht!K2</f>
        <v>2017</v>
      </c>
      <c r="L2" s="278"/>
      <c r="M2" s="93"/>
      <c r="N2" s="93"/>
      <c r="O2" s="93"/>
      <c r="P2" s="94"/>
      <c r="Q2" s="154"/>
      <c r="R2" s="154"/>
      <c r="S2" s="69"/>
      <c r="T2" s="69"/>
      <c r="U2" s="69"/>
      <c r="V2" s="3"/>
      <c r="W2" s="3"/>
      <c r="X2" s="3"/>
      <c r="Y2" s="3"/>
      <c r="Z2" s="3"/>
      <c r="AA2" s="3"/>
      <c r="AB2" s="3"/>
      <c r="AC2" s="3"/>
      <c r="AD2" s="3"/>
      <c r="AE2" s="3"/>
      <c r="AF2" s="3"/>
      <c r="AG2" s="3"/>
      <c r="AH2" s="3"/>
    </row>
    <row r="3" spans="1:34" ht="11.25" customHeight="1">
      <c r="A3" s="3"/>
      <c r="B3" s="10"/>
      <c r="C3" s="10"/>
      <c r="D3" s="10"/>
      <c r="E3" s="10"/>
      <c r="F3" s="10"/>
      <c r="G3" s="10"/>
      <c r="H3" s="10"/>
      <c r="I3" s="10"/>
      <c r="J3" s="10"/>
      <c r="K3" s="10"/>
      <c r="L3" s="10"/>
      <c r="M3" s="10"/>
      <c r="N3" s="10"/>
      <c r="O3" s="10"/>
      <c r="P3" s="8"/>
      <c r="Q3" s="154"/>
      <c r="R3" s="154"/>
      <c r="S3" s="69"/>
      <c r="T3" s="69"/>
      <c r="U3" s="69"/>
      <c r="V3" s="3"/>
      <c r="W3" s="3"/>
      <c r="X3" s="3"/>
      <c r="Y3" s="3"/>
      <c r="Z3" s="3"/>
      <c r="AA3" s="3"/>
      <c r="AB3" s="3"/>
      <c r="AC3" s="3"/>
      <c r="AD3" s="3"/>
      <c r="AE3" s="3"/>
      <c r="AF3" s="3"/>
      <c r="AG3" s="3"/>
      <c r="AH3" s="3"/>
    </row>
    <row r="4" spans="1:34" ht="15" customHeight="1">
      <c r="A4" s="3"/>
      <c r="B4" s="11"/>
      <c r="C4" s="12"/>
      <c r="D4" s="12"/>
      <c r="E4" s="12"/>
      <c r="F4" s="12"/>
      <c r="G4" s="12"/>
      <c r="H4" s="12"/>
      <c r="I4" s="12"/>
      <c r="J4" s="12"/>
      <c r="K4" s="12"/>
      <c r="L4" s="12"/>
      <c r="M4" s="12"/>
      <c r="N4" s="12"/>
      <c r="O4" s="12"/>
      <c r="P4" s="13"/>
      <c r="Q4" s="154"/>
      <c r="R4" s="154"/>
      <c r="S4" s="69"/>
      <c r="T4" s="69"/>
      <c r="U4" s="69"/>
      <c r="V4" s="3"/>
      <c r="W4" s="3"/>
      <c r="X4" s="3"/>
      <c r="Y4" s="3"/>
      <c r="Z4" s="3"/>
      <c r="AA4" s="3"/>
      <c r="AB4" s="3"/>
      <c r="AC4" s="3"/>
      <c r="AD4" s="3"/>
      <c r="AE4" s="3"/>
      <c r="AF4" s="3"/>
      <c r="AG4" s="3"/>
      <c r="AH4" s="3"/>
    </row>
    <row r="5" spans="1:34" ht="22.5" customHeight="1">
      <c r="A5" s="3"/>
      <c r="B5" s="107"/>
      <c r="C5" s="25" t="s">
        <v>3</v>
      </c>
      <c r="D5" s="15"/>
      <c r="E5" s="258" t="str">
        <f>IF(Übersicht!E5&lt;&gt;"",Übersicht!E5,"")</f>
        <v>Jansen, David</v>
      </c>
      <c r="F5" s="259"/>
      <c r="G5" s="259"/>
      <c r="H5" s="260"/>
      <c r="I5" s="16"/>
      <c r="J5" s="25" t="s">
        <v>65</v>
      </c>
      <c r="K5" s="16"/>
      <c r="M5" s="261">
        <f>IF(Übersicht!M5&lt;&gt;"",Übersicht!M5,"")</f>
        <v>419510</v>
      </c>
      <c r="N5" s="262"/>
      <c r="O5" s="263"/>
      <c r="P5" s="17"/>
      <c r="Q5" s="155"/>
      <c r="R5" s="155"/>
      <c r="S5" s="68"/>
      <c r="T5" s="68"/>
      <c r="V5" s="3"/>
      <c r="W5" s="3"/>
      <c r="X5" s="3"/>
      <c r="Y5" s="3"/>
      <c r="Z5" s="3"/>
      <c r="AA5" s="3"/>
      <c r="AB5" s="3"/>
      <c r="AC5" s="3"/>
      <c r="AD5" s="3"/>
      <c r="AE5" s="3"/>
      <c r="AF5" s="3"/>
      <c r="AG5" s="3"/>
      <c r="AH5" s="3"/>
    </row>
    <row r="6" spans="1:34" ht="15">
      <c r="A6" s="3"/>
      <c r="B6" s="18"/>
      <c r="C6" s="19"/>
      <c r="D6" s="19"/>
      <c r="E6" s="19"/>
      <c r="F6" s="19"/>
      <c r="G6" s="20"/>
      <c r="H6" s="20"/>
      <c r="I6" s="16"/>
      <c r="J6" s="16"/>
      <c r="P6" s="23"/>
      <c r="Q6" s="156"/>
      <c r="R6" s="156"/>
      <c r="V6" s="3"/>
      <c r="W6" s="3"/>
      <c r="X6" s="3"/>
      <c r="Y6" s="3"/>
      <c r="Z6" s="3"/>
      <c r="AA6" s="3"/>
      <c r="AB6" s="3"/>
      <c r="AC6" s="3"/>
      <c r="AD6" s="3"/>
      <c r="AE6" s="3"/>
      <c r="AF6" s="3"/>
      <c r="AG6" s="3"/>
      <c r="AH6" s="3"/>
    </row>
    <row r="7" spans="1:34" ht="22.5" customHeight="1">
      <c r="A7" s="3"/>
      <c r="B7" s="107"/>
      <c r="C7" s="25" t="s">
        <v>7</v>
      </c>
      <c r="D7" s="16"/>
      <c r="E7" s="258" t="str">
        <f>IF(Übersicht!E7&lt;&gt;"",Übersicht!E7,"")</f>
        <v>Hiwi</v>
      </c>
      <c r="F7" s="259"/>
      <c r="G7" s="259"/>
      <c r="H7" s="260"/>
      <c r="I7" s="16"/>
      <c r="J7" s="25" t="s">
        <v>74</v>
      </c>
      <c r="K7" s="16"/>
      <c r="M7" s="272">
        <f>März!K54</f>
        <v>0</v>
      </c>
      <c r="N7" s="285"/>
      <c r="O7" s="286"/>
      <c r="P7" s="23"/>
      <c r="Q7" s="156"/>
      <c r="R7" s="6" t="s">
        <v>81</v>
      </c>
      <c r="S7" s="211" t="b">
        <f>OR(IF(E7&gt;"",IF(MID(E7,LEN(E7)-1,2)="WE","WAHR",FALSE),FALSE),IF(E7&gt;"",IF(MID(E7,LEN(E7)-2,3)="WEF","WAHR",FALSE),FALSE))</f>
        <v>0</v>
      </c>
      <c r="V7" s="3"/>
      <c r="W7" s="3"/>
      <c r="X7" s="3"/>
      <c r="Y7" s="3"/>
      <c r="Z7" s="3"/>
      <c r="AA7" s="3"/>
      <c r="AB7" s="3"/>
      <c r="AC7" s="3"/>
      <c r="AD7" s="3"/>
      <c r="AE7" s="3"/>
      <c r="AF7" s="3"/>
      <c r="AG7" s="3"/>
      <c r="AH7" s="3"/>
    </row>
    <row r="8" spans="1:34" ht="22.5" customHeight="1">
      <c r="A8" s="3"/>
      <c r="B8" s="186"/>
      <c r="C8" s="187"/>
      <c r="D8" s="187"/>
      <c r="E8" s="187"/>
      <c r="F8" s="188"/>
      <c r="G8" s="189"/>
      <c r="H8" s="189"/>
      <c r="I8" s="189"/>
      <c r="J8" s="61"/>
      <c r="K8" s="61"/>
      <c r="L8" s="61"/>
      <c r="M8" s="61"/>
      <c r="N8" s="61"/>
      <c r="O8" s="61"/>
      <c r="P8" s="190"/>
      <c r="Q8" s="156"/>
      <c r="R8" s="6" t="s">
        <v>82</v>
      </c>
      <c r="S8" s="211" t="b">
        <f>IF(E7&gt;"",IF(MID(E7,LEN(E7)-2,3)="WEF","WAHR",FALSE),FALSE)</f>
        <v>0</v>
      </c>
      <c r="V8" s="3"/>
      <c r="W8" s="3"/>
      <c r="X8" s="3"/>
      <c r="Y8" s="3"/>
      <c r="Z8" s="3"/>
      <c r="AA8" s="3"/>
      <c r="AB8" s="3"/>
      <c r="AC8" s="3"/>
      <c r="AD8" s="3"/>
      <c r="AE8" s="3"/>
      <c r="AF8" s="3"/>
      <c r="AG8" s="3"/>
      <c r="AH8" s="3"/>
    </row>
    <row r="9" spans="1:34" ht="22.5" customHeight="1">
      <c r="A9" s="3"/>
      <c r="B9" s="107"/>
      <c r="C9" s="25" t="s">
        <v>73</v>
      </c>
      <c r="D9" s="16"/>
      <c r="E9" s="191" t="str">
        <f>IF(Übersicht!E11&lt;&gt;"",Übersicht!E11,"")</f>
        <v>Innogy Abwasser</v>
      </c>
      <c r="F9" s="192"/>
      <c r="G9" s="192"/>
      <c r="H9" s="192"/>
      <c r="I9" s="192"/>
      <c r="J9" s="192"/>
      <c r="K9" s="192"/>
      <c r="L9" s="192"/>
      <c r="M9" s="192"/>
      <c r="N9" s="192"/>
      <c r="O9" s="193"/>
      <c r="P9" s="23"/>
      <c r="Q9" s="156"/>
      <c r="R9" s="156"/>
      <c r="V9" s="3"/>
      <c r="W9" s="3"/>
      <c r="X9" s="3"/>
      <c r="Y9" s="3"/>
      <c r="Z9" s="3"/>
      <c r="AA9" s="3"/>
      <c r="AB9" s="3"/>
      <c r="AC9" s="3"/>
      <c r="AD9" s="3"/>
      <c r="AE9" s="3"/>
      <c r="AF9" s="3"/>
      <c r="AG9" s="3"/>
      <c r="AH9" s="3"/>
    </row>
    <row r="10" spans="1:34" ht="15">
      <c r="A10" s="3"/>
      <c r="B10" s="14"/>
      <c r="C10" s="25"/>
      <c r="D10" s="25"/>
      <c r="E10" s="25"/>
      <c r="F10" s="19"/>
      <c r="G10" s="26"/>
      <c r="H10" s="26"/>
      <c r="I10" s="26"/>
      <c r="P10" s="23"/>
      <c r="Q10" s="157"/>
      <c r="R10" s="157"/>
      <c r="S10" s="68"/>
      <c r="T10" s="68"/>
      <c r="U10" s="68"/>
      <c r="V10" s="3"/>
      <c r="W10" s="3"/>
      <c r="X10" s="3"/>
      <c r="Y10" s="3"/>
      <c r="Z10" s="3"/>
      <c r="AA10" s="3"/>
      <c r="AB10" s="3"/>
      <c r="AC10" s="3"/>
      <c r="AD10" s="3"/>
      <c r="AE10" s="3"/>
      <c r="AF10" s="3"/>
      <c r="AG10" s="3"/>
      <c r="AH10" s="3"/>
    </row>
    <row r="11" spans="1:34" ht="15" customHeight="1">
      <c r="A11" s="3"/>
      <c r="B11" s="112"/>
      <c r="C11" s="113"/>
      <c r="D11" s="114"/>
      <c r="E11" s="114"/>
      <c r="F11" s="115"/>
      <c r="G11" s="115"/>
      <c r="H11" s="116" t="s">
        <v>42</v>
      </c>
      <c r="I11" s="117" t="s">
        <v>12</v>
      </c>
      <c r="J11" s="118" t="s">
        <v>13</v>
      </c>
      <c r="K11" s="119" t="s">
        <v>14</v>
      </c>
      <c r="L11" s="117" t="s">
        <v>15</v>
      </c>
      <c r="M11" s="117" t="s">
        <v>16</v>
      </c>
      <c r="N11" s="120"/>
      <c r="O11" s="150"/>
      <c r="P11" s="23"/>
      <c r="Q11" s="156"/>
      <c r="R11" s="156"/>
      <c r="V11" s="3"/>
      <c r="W11" s="3"/>
      <c r="X11" s="3"/>
      <c r="Y11" s="3"/>
      <c r="Z11" s="3"/>
      <c r="AA11" s="3"/>
      <c r="AB11" s="3"/>
      <c r="AC11" s="3"/>
      <c r="AD11" s="3"/>
      <c r="AE11" s="3"/>
      <c r="AF11" s="3"/>
      <c r="AG11" s="3"/>
      <c r="AH11" s="3"/>
    </row>
    <row r="12" spans="1:34" ht="22.5" customHeight="1">
      <c r="A12" s="3"/>
      <c r="B12" s="112"/>
      <c r="C12" s="14" t="s">
        <v>30</v>
      </c>
      <c r="D12" s="21"/>
      <c r="E12" s="22"/>
      <c r="F12" s="152">
        <f>IF(März!F16&gt;0,März!F16,März!F12)</f>
        <v>0</v>
      </c>
      <c r="G12" s="92"/>
      <c r="H12" s="121" t="s">
        <v>43</v>
      </c>
      <c r="I12" s="122">
        <f>$F$12/5</f>
        <v>0</v>
      </c>
      <c r="J12" s="123">
        <f>$F$12/5</f>
        <v>0</v>
      </c>
      <c r="K12" s="123">
        <f>$F$12/5</f>
        <v>0</v>
      </c>
      <c r="L12" s="123">
        <f>$F$12/5</f>
        <v>0</v>
      </c>
      <c r="M12" s="124">
        <f>$F$12/5</f>
        <v>0</v>
      </c>
      <c r="N12" s="125" t="s">
        <v>45</v>
      </c>
      <c r="O12" s="150"/>
      <c r="P12" s="23"/>
      <c r="Q12" s="156"/>
      <c r="R12" s="156"/>
      <c r="V12" s="3"/>
      <c r="W12" s="3"/>
      <c r="X12" s="3"/>
      <c r="Y12" s="3"/>
      <c r="Z12" s="3"/>
      <c r="AA12" s="3"/>
      <c r="AB12" s="3"/>
      <c r="AC12" s="3"/>
      <c r="AD12" s="3"/>
      <c r="AE12" s="3"/>
      <c r="AF12" s="3"/>
      <c r="AG12" s="3"/>
      <c r="AH12" s="3"/>
    </row>
    <row r="13" spans="1:34" ht="22.5" customHeight="1">
      <c r="A13" s="3"/>
      <c r="B13" s="112"/>
      <c r="C13" s="126"/>
      <c r="D13" s="151"/>
      <c r="E13" s="151"/>
      <c r="F13" s="127"/>
      <c r="G13" s="127"/>
      <c r="H13" s="128" t="s">
        <v>44</v>
      </c>
      <c r="I13" s="108"/>
      <c r="J13" s="109"/>
      <c r="K13" s="109"/>
      <c r="L13" s="109"/>
      <c r="M13" s="110"/>
      <c r="N13" s="88">
        <f>SUM(I13:M13)</f>
        <v>0</v>
      </c>
      <c r="O13" s="150"/>
      <c r="P13" s="23"/>
      <c r="Q13" s="156"/>
      <c r="R13" s="156"/>
      <c r="V13" s="3"/>
      <c r="W13" s="3"/>
      <c r="X13" s="3"/>
      <c r="Y13" s="3"/>
      <c r="Z13" s="3"/>
      <c r="AA13" s="3"/>
      <c r="AB13" s="3"/>
      <c r="AC13" s="3"/>
      <c r="AD13" s="3"/>
      <c r="AE13" s="3"/>
      <c r="AF13" s="3"/>
      <c r="AG13" s="3"/>
      <c r="AH13" s="3"/>
    </row>
    <row r="14" spans="1:34" ht="18.75" customHeight="1">
      <c r="A14" s="3"/>
      <c r="B14" s="112"/>
      <c r="C14" s="149" t="s">
        <v>80</v>
      </c>
      <c r="D14" s="25"/>
      <c r="E14" s="27"/>
      <c r="F14" s="7"/>
      <c r="G14" s="7"/>
      <c r="O14" s="150"/>
      <c r="P14" s="23"/>
      <c r="Q14" s="156"/>
      <c r="R14" s="156"/>
      <c r="V14" s="3"/>
      <c r="W14" s="3"/>
      <c r="X14" s="3"/>
      <c r="Y14" s="3"/>
      <c r="Z14" s="3"/>
      <c r="AA14" s="3"/>
      <c r="AB14" s="3"/>
      <c r="AC14" s="3"/>
      <c r="AD14" s="3"/>
      <c r="AE14" s="3"/>
      <c r="AF14" s="3"/>
      <c r="AG14" s="3"/>
      <c r="AH14" s="3"/>
    </row>
    <row r="15" spans="1:34" ht="15" customHeight="1">
      <c r="A15" s="3"/>
      <c r="B15" s="112"/>
      <c r="C15" s="111"/>
      <c r="D15" s="129"/>
      <c r="E15" s="130"/>
      <c r="F15" s="130"/>
      <c r="G15" s="131"/>
      <c r="H15" s="132" t="s">
        <v>49</v>
      </c>
      <c r="I15" s="133" t="s">
        <v>12</v>
      </c>
      <c r="J15" s="134" t="s">
        <v>13</v>
      </c>
      <c r="K15" s="135" t="s">
        <v>14</v>
      </c>
      <c r="L15" s="133" t="s">
        <v>15</v>
      </c>
      <c r="M15" s="133" t="s">
        <v>16</v>
      </c>
      <c r="N15" s="136"/>
      <c r="O15" s="150"/>
      <c r="P15" s="23"/>
      <c r="Q15" s="156"/>
      <c r="R15" s="156"/>
      <c r="V15" s="3"/>
      <c r="W15" s="3"/>
      <c r="X15" s="3"/>
      <c r="Y15" s="3"/>
      <c r="Z15" s="3"/>
      <c r="AA15" s="3"/>
      <c r="AB15" s="3"/>
      <c r="AC15" s="3"/>
      <c r="AD15" s="3"/>
      <c r="AE15" s="3"/>
      <c r="AF15" s="3"/>
      <c r="AG15" s="3"/>
      <c r="AH15" s="3"/>
    </row>
    <row r="16" spans="1:34" ht="23.25" customHeight="1">
      <c r="A16" s="3"/>
      <c r="B16" s="112"/>
      <c r="C16" s="147" t="s">
        <v>48</v>
      </c>
      <c r="D16" s="148"/>
      <c r="E16" s="148"/>
      <c r="F16" s="152">
        <v>10</v>
      </c>
      <c r="G16" s="137"/>
      <c r="H16" s="138" t="s">
        <v>43</v>
      </c>
      <c r="I16" s="139">
        <f>$F$16/5</f>
        <v>2</v>
      </c>
      <c r="J16" s="140">
        <f>$F$16/5</f>
        <v>2</v>
      </c>
      <c r="K16" s="140">
        <f>$F$16/5</f>
        <v>2</v>
      </c>
      <c r="L16" s="140">
        <f>$F$16/5</f>
        <v>2</v>
      </c>
      <c r="M16" s="141">
        <f>$F$16/5</f>
        <v>2</v>
      </c>
      <c r="N16" s="142" t="s">
        <v>45</v>
      </c>
      <c r="O16" s="150"/>
      <c r="P16" s="23"/>
      <c r="Q16" s="156"/>
      <c r="R16" s="156"/>
      <c r="V16" s="3"/>
      <c r="W16" s="3"/>
      <c r="X16" s="3"/>
      <c r="Y16" s="3"/>
      <c r="Z16" s="3"/>
      <c r="AA16" s="3"/>
      <c r="AB16" s="3"/>
      <c r="AC16" s="3"/>
      <c r="AD16" s="3"/>
      <c r="AE16" s="3"/>
      <c r="AF16" s="3"/>
      <c r="AG16" s="3"/>
      <c r="AH16" s="3"/>
    </row>
    <row r="17" spans="1:252" ht="22.5" customHeight="1">
      <c r="A17" s="3"/>
      <c r="B17" s="112"/>
      <c r="C17" s="143" t="s">
        <v>47</v>
      </c>
      <c r="D17" s="144"/>
      <c r="E17" s="279">
        <v>42840</v>
      </c>
      <c r="F17" s="279"/>
      <c r="G17" s="153" t="b">
        <f>IF($E$17&lt;&gt;0,TRUE(),FALSE())</f>
        <v>1</v>
      </c>
      <c r="H17" s="145" t="s">
        <v>44</v>
      </c>
      <c r="I17" s="108"/>
      <c r="J17" s="109"/>
      <c r="K17" s="109"/>
      <c r="L17" s="109"/>
      <c r="M17" s="110"/>
      <c r="N17" s="146">
        <f>SUM(I17:M17)</f>
        <v>0</v>
      </c>
      <c r="O17" s="150"/>
      <c r="P17" s="23"/>
      <c r="Q17" s="156"/>
      <c r="R17" s="156"/>
      <c r="V17" s="3"/>
      <c r="W17" s="3"/>
      <c r="X17" s="3"/>
      <c r="Y17" s="3"/>
      <c r="Z17" s="3"/>
      <c r="AA17" s="3"/>
      <c r="AB17" s="3"/>
      <c r="AC17" s="3"/>
      <c r="AD17" s="3"/>
      <c r="AE17" s="3"/>
      <c r="AF17" s="3"/>
      <c r="AG17" s="3"/>
      <c r="AH17" s="3"/>
    </row>
    <row r="18" spans="1:252" ht="15">
      <c r="A18" s="3"/>
      <c r="B18" s="85"/>
      <c r="C18" s="86"/>
      <c r="D18" s="87"/>
      <c r="E18" s="87"/>
      <c r="F18" s="87"/>
      <c r="G18" s="87"/>
      <c r="H18" s="87"/>
      <c r="I18" s="87"/>
      <c r="J18" s="87"/>
      <c r="K18" s="9"/>
      <c r="L18" s="9"/>
      <c r="M18" s="9"/>
      <c r="N18" s="9"/>
      <c r="O18" s="9"/>
      <c r="P18" s="28"/>
      <c r="Q18" s="156"/>
      <c r="R18" s="156"/>
      <c r="V18" s="3"/>
      <c r="W18" s="3"/>
      <c r="X18" s="3"/>
      <c r="Y18" s="3"/>
      <c r="Z18" s="3"/>
      <c r="AA18" s="3"/>
      <c r="AB18" s="3"/>
      <c r="AC18" s="3"/>
      <c r="AD18" s="3"/>
      <c r="AE18" s="3"/>
      <c r="AF18" s="3"/>
      <c r="AG18" s="3"/>
      <c r="AH18" s="3"/>
    </row>
    <row r="19" spans="1:252" ht="15.75" thickBot="1">
      <c r="A19" s="29"/>
      <c r="B19" s="164"/>
      <c r="C19" s="68"/>
      <c r="D19" s="68"/>
      <c r="E19" s="68"/>
      <c r="F19" s="68"/>
      <c r="G19" s="68"/>
      <c r="H19" s="68"/>
      <c r="I19" s="68"/>
      <c r="J19" s="68"/>
      <c r="K19" s="68"/>
      <c r="L19" s="68"/>
      <c r="M19" s="68"/>
      <c r="N19" s="68"/>
      <c r="O19" s="68"/>
      <c r="P19" s="68"/>
      <c r="Q19" s="157"/>
      <c r="R19" s="157"/>
      <c r="S19" s="68"/>
      <c r="T19" s="68"/>
      <c r="U19" s="68"/>
    </row>
    <row r="20" spans="1:252" s="4" customFormat="1" ht="18.75" customHeight="1">
      <c r="A20" s="30"/>
      <c r="B20" s="202"/>
      <c r="C20" s="264" t="s">
        <v>29</v>
      </c>
      <c r="D20" s="265"/>
      <c r="E20" s="265"/>
      <c r="F20" s="266" t="s">
        <v>67</v>
      </c>
      <c r="G20" s="267"/>
      <c r="H20" s="268"/>
      <c r="I20" s="269" t="s">
        <v>25</v>
      </c>
      <c r="J20" s="269"/>
      <c r="K20" s="270"/>
      <c r="L20" s="271"/>
      <c r="M20" s="269"/>
      <c r="N20" s="269"/>
      <c r="O20" s="269"/>
      <c r="P20" s="270"/>
      <c r="Q20" s="158"/>
      <c r="R20" s="158"/>
      <c r="S20" s="70" t="s">
        <v>22</v>
      </c>
      <c r="T20" s="70" t="s">
        <v>23</v>
      </c>
      <c r="U20" s="70" t="s">
        <v>23</v>
      </c>
      <c r="V20" s="71" t="s">
        <v>24</v>
      </c>
      <c r="W20" s="71" t="s">
        <v>22</v>
      </c>
      <c r="X20" s="71" t="s">
        <v>22</v>
      </c>
      <c r="Y20" s="71"/>
      <c r="Z20" s="71"/>
      <c r="AA20" s="70"/>
      <c r="AB20" s="70"/>
      <c r="AC20" s="71"/>
      <c r="AD20" s="97"/>
      <c r="AE20" s="97"/>
      <c r="AF20" s="98"/>
      <c r="AG20" s="98"/>
      <c r="AH20" s="98"/>
    </row>
    <row r="21" spans="1:252" ht="18.75" customHeight="1">
      <c r="A21" s="31">
        <f>DATEVALUE(I2&amp;K2)</f>
        <v>42826</v>
      </c>
      <c r="B21" s="203" t="s">
        <v>0</v>
      </c>
      <c r="C21" s="1" t="s">
        <v>8</v>
      </c>
      <c r="D21" s="5"/>
      <c r="E21" s="204" t="s">
        <v>18</v>
      </c>
      <c r="F21" s="173" t="s">
        <v>1</v>
      </c>
      <c r="G21" s="174" t="s">
        <v>6</v>
      </c>
      <c r="H21" s="175" t="s">
        <v>2</v>
      </c>
      <c r="I21" s="204" t="s">
        <v>17</v>
      </c>
      <c r="J21" s="2" t="s">
        <v>21</v>
      </c>
      <c r="K21" s="204" t="s">
        <v>19</v>
      </c>
      <c r="L21" s="275" t="s">
        <v>71</v>
      </c>
      <c r="M21" s="276"/>
      <c r="N21" s="276"/>
      <c r="O21" s="276"/>
      <c r="P21" s="277"/>
      <c r="Q21" s="159"/>
      <c r="R21" s="159"/>
      <c r="S21" s="72" t="s">
        <v>11</v>
      </c>
      <c r="T21" s="72" t="s">
        <v>1</v>
      </c>
      <c r="U21" s="72" t="s">
        <v>6</v>
      </c>
      <c r="V21" s="73" t="s">
        <v>2</v>
      </c>
      <c r="W21" s="73" t="s">
        <v>20</v>
      </c>
      <c r="X21" s="74" t="s">
        <v>21</v>
      </c>
      <c r="Y21" s="73" t="s">
        <v>19</v>
      </c>
      <c r="Z21" s="75"/>
    </row>
    <row r="22" spans="1:252" ht="20.25" customHeight="1">
      <c r="A22" s="32" t="str">
        <f t="shared" ref="A22:A52" si="0">TEXT(B22,"TTTT")</f>
        <v>Samstag</v>
      </c>
      <c r="B22" s="33">
        <f>($A$21+ROW(B1)-1)*(MONTH($A$21+1)=MONTH($A$21))</f>
        <v>42826</v>
      </c>
      <c r="C22" s="185" t="str">
        <f>IF(OR(A22="Samstag",A22="Sonntag"),"",IF(COUNTIF(Übersicht!C$16:C$30,B22)&gt;0,"BA",""))</f>
        <v/>
      </c>
      <c r="D22" s="34"/>
      <c r="E22" s="172" t="str">
        <f>IF(OR(A22="Samstag",A22="Sonntag",C22="BA"),"",
IF(C22="SV",D22,
IF(OR($E$17="",B22&lt;$E$17),IF($N$13=0,HLOOKUP($A22,$I$11:$M$12,2,FALSE),IF($N$13=$F$12,HLOOKUP($A22,$I$11:$M$13,3,FALSE),"FEHLER")),
IF($N$17=0,HLOOKUP($A22,$I$15:$M$16,2,FALSE),IF($N$17=$F$16,HLOOKUP($A22,$I$15:$M$17,3,FALSE),"FEHLER")))))</f>
        <v/>
      </c>
      <c r="F22" s="195"/>
      <c r="G22" s="196"/>
      <c r="H22" s="197"/>
      <c r="I22" s="38">
        <f t="shared" ref="I22:I52" si="1">IF(OR(C22="K",C22="U",C22="F"),E22,IF(C22="SU",IF(H22="",D22,((H22-F22)-G22)+D22),IF(AND(H22="",E22=""),0,((H22-F22)-G22)*24)))</f>
        <v>0</v>
      </c>
      <c r="J22" s="35">
        <f>IF(E22="Fehler",0,IF(E22="",I22,I22-E22))</f>
        <v>0</v>
      </c>
      <c r="K22" s="36">
        <f>M7+J22</f>
        <v>0</v>
      </c>
      <c r="L22" s="251"/>
      <c r="M22" s="252"/>
      <c r="N22" s="252"/>
      <c r="O22" s="252"/>
      <c r="P22" s="253"/>
      <c r="Q22" s="89"/>
      <c r="R22" s="165"/>
      <c r="S22" s="76"/>
      <c r="T22" s="76"/>
      <c r="U22" s="76"/>
      <c r="V22" s="76"/>
      <c r="W22" s="76"/>
      <c r="X22" s="76"/>
      <c r="Y22" s="76"/>
      <c r="Z22" s="76"/>
      <c r="AB22" s="166"/>
      <c r="AE22" s="99"/>
    </row>
    <row r="23" spans="1:252" s="96" customFormat="1" ht="20.25" customHeight="1">
      <c r="A23" s="32" t="str">
        <f t="shared" si="0"/>
        <v>Sonntag</v>
      </c>
      <c r="B23" s="37">
        <f t="shared" ref="B23:B52" si="2">($A$21+ROW(B2)-1)*(MONTH(B22+1)=MONTH($A$21))</f>
        <v>42827</v>
      </c>
      <c r="C23" s="185" t="str">
        <f>IF(OR(A23="Samstag",A23="Sonntag"),"",IF(COUNTIF(Übersicht!C$16:C$30,B23)&gt;0,"BA",""))</f>
        <v/>
      </c>
      <c r="D23" s="38"/>
      <c r="E23" s="172" t="str">
        <f>IF(OR(A23="Samstag",A23="Sonntag",C23="BA"),"",
IF(C23="SV",D23,
IF(OR($E$17="",B23&lt;$E$17),IF($N$13=0,HLOOKUP($A23,$I$11:$M$12,2,FALSE),IF($N$13=$F$12,HLOOKUP($A23,$I$11:$M$13,3,FALSE),"FEHLER")),
IF($N$17=0,HLOOKUP($A23,$I$15:$M$16,2,FALSE),IF($N$17=$F$16,HLOOKUP($A23,$I$15:$M$17,3,FALSE),"FEHLER")))))</f>
        <v/>
      </c>
      <c r="F23" s="176"/>
      <c r="G23" s="177"/>
      <c r="H23" s="178"/>
      <c r="I23" s="38">
        <f t="shared" si="1"/>
        <v>0</v>
      </c>
      <c r="J23" s="35">
        <f t="shared" ref="J23:J52" si="3">IF(E23="Fehler",0,IF(E23="",I23,I23-E23))</f>
        <v>0</v>
      </c>
      <c r="K23" s="36">
        <f>SUM(K22,J23)</f>
        <v>0</v>
      </c>
      <c r="L23" s="251"/>
      <c r="M23" s="252"/>
      <c r="N23" s="252"/>
      <c r="O23" s="252"/>
      <c r="P23" s="253"/>
      <c r="Q23" s="89"/>
      <c r="R23" s="165"/>
      <c r="S23" s="76"/>
      <c r="T23" s="76"/>
      <c r="U23" s="76"/>
      <c r="V23" s="76"/>
      <c r="W23" s="76"/>
      <c r="X23" s="76"/>
      <c r="Y23" s="76"/>
      <c r="Z23" s="76"/>
      <c r="AA23" s="68"/>
      <c r="AB23" s="166"/>
      <c r="AC23" s="6"/>
      <c r="AD23" s="95"/>
      <c r="AE23" s="99"/>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row>
    <row r="24" spans="1:252" s="96" customFormat="1" ht="20.25" customHeight="1">
      <c r="A24" s="32" t="str">
        <f t="shared" si="0"/>
        <v>Montag</v>
      </c>
      <c r="B24" s="37">
        <f t="shared" si="2"/>
        <v>42828</v>
      </c>
      <c r="C24" s="185" t="str">
        <f>IF(OR(A24="Samstag",A24="Sonntag"),"",IF(COUNTIF(Übersicht!C$16:C$30,B24)&gt;0,"BA",""))</f>
        <v/>
      </c>
      <c r="D24" s="38"/>
      <c r="E24" s="172">
        <f t="shared" ref="E24:E52" si="4">IF(OR(A24="Samstag",A24="Sonntag",C24="BA"),"",
IF(C24="SV",D24,
IF(OR($E$17="",B24&lt;$E$17),IF($N$13=0,HLOOKUP($A24,$I$11:$M$12,2,FALSE),IF($N$13=$F$12,HLOOKUP($A24,$I$11:$M$13,3,FALSE),"FEHLER")),
IF($N$17=0,HLOOKUP($A24,$I$15:$M$16,2,FALSE),IF($N$17=$F$16,HLOOKUP($A24,$I$15:$M$17,3,FALSE),"FEHLER")))))</f>
        <v>0</v>
      </c>
      <c r="F24" s="176"/>
      <c r="G24" s="177"/>
      <c r="H24" s="178"/>
      <c r="I24" s="38">
        <f t="shared" si="1"/>
        <v>0</v>
      </c>
      <c r="J24" s="35">
        <f t="shared" si="3"/>
        <v>0</v>
      </c>
      <c r="K24" s="36">
        <f t="shared" ref="K24:K52" si="5">SUM(K23,J24)</f>
        <v>0</v>
      </c>
      <c r="L24" s="251"/>
      <c r="M24" s="252"/>
      <c r="N24" s="252"/>
      <c r="O24" s="252"/>
      <c r="P24" s="253"/>
      <c r="Q24" s="89"/>
      <c r="R24" s="165"/>
      <c r="S24" s="76"/>
      <c r="T24" s="76"/>
      <c r="U24" s="76"/>
      <c r="V24" s="76"/>
      <c r="W24" s="76"/>
      <c r="X24" s="76"/>
      <c r="Y24" s="76"/>
      <c r="Z24" s="76"/>
      <c r="AA24" s="68"/>
      <c r="AB24" s="166"/>
      <c r="AC24" s="6"/>
      <c r="AD24" s="95"/>
      <c r="AE24" s="99"/>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row>
    <row r="25" spans="1:252" s="96" customFormat="1" ht="20.25" customHeight="1">
      <c r="A25" s="32" t="str">
        <f t="shared" si="0"/>
        <v>Dienstag</v>
      </c>
      <c r="B25" s="37">
        <f t="shared" si="2"/>
        <v>42829</v>
      </c>
      <c r="C25" s="185" t="str">
        <f>IF(OR(A25="Samstag",A25="Sonntag"),"",IF(COUNTIF(Übersicht!C$16:C$30,B25)&gt;0,"BA",""))</f>
        <v/>
      </c>
      <c r="D25" s="38"/>
      <c r="E25" s="172">
        <f t="shared" si="4"/>
        <v>0</v>
      </c>
      <c r="F25" s="176"/>
      <c r="G25" s="177"/>
      <c r="H25" s="178"/>
      <c r="I25" s="38">
        <f t="shared" si="1"/>
        <v>0</v>
      </c>
      <c r="J25" s="35">
        <f t="shared" si="3"/>
        <v>0</v>
      </c>
      <c r="K25" s="36">
        <f t="shared" si="5"/>
        <v>0</v>
      </c>
      <c r="L25" s="251"/>
      <c r="M25" s="252"/>
      <c r="N25" s="252"/>
      <c r="O25" s="252"/>
      <c r="P25" s="253"/>
      <c r="Q25" s="89"/>
      <c r="R25" s="165"/>
      <c r="S25" s="76"/>
      <c r="T25" s="76"/>
      <c r="U25" s="76"/>
      <c r="V25" s="76"/>
      <c r="W25" s="76"/>
      <c r="X25" s="76"/>
      <c r="Y25" s="76"/>
      <c r="Z25" s="76"/>
      <c r="AA25" s="68"/>
      <c r="AB25" s="166"/>
      <c r="AC25" s="6"/>
      <c r="AD25" s="95"/>
      <c r="AE25" s="99"/>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row>
    <row r="26" spans="1:252" s="96" customFormat="1" ht="20.25" customHeight="1">
      <c r="A26" s="32" t="str">
        <f t="shared" si="0"/>
        <v>Mittwoch</v>
      </c>
      <c r="B26" s="37">
        <f t="shared" si="2"/>
        <v>42830</v>
      </c>
      <c r="C26" s="185" t="str">
        <f>IF(OR(A26="Samstag",A26="Sonntag"),"",IF(COUNTIF(Übersicht!C$16:C$30,B26)&gt;0,"BA",""))</f>
        <v/>
      </c>
      <c r="D26" s="38"/>
      <c r="E26" s="172">
        <f t="shared" si="4"/>
        <v>0</v>
      </c>
      <c r="F26" s="176"/>
      <c r="G26" s="177"/>
      <c r="H26" s="178"/>
      <c r="I26" s="38">
        <f t="shared" si="1"/>
        <v>0</v>
      </c>
      <c r="J26" s="35">
        <f t="shared" si="3"/>
        <v>0</v>
      </c>
      <c r="K26" s="36">
        <f t="shared" si="5"/>
        <v>0</v>
      </c>
      <c r="L26" s="251"/>
      <c r="M26" s="252"/>
      <c r="N26" s="252"/>
      <c r="O26" s="252"/>
      <c r="P26" s="253"/>
      <c r="Q26" s="89"/>
      <c r="R26" s="165"/>
      <c r="S26" s="76"/>
      <c r="T26" s="76"/>
      <c r="U26" s="76"/>
      <c r="V26" s="76"/>
      <c r="W26" s="76"/>
      <c r="X26" s="76"/>
      <c r="Y26" s="76"/>
      <c r="Z26" s="76"/>
      <c r="AA26" s="68"/>
      <c r="AB26" s="166"/>
      <c r="AC26" s="6"/>
      <c r="AD26" s="95"/>
      <c r="AE26" s="99"/>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row>
    <row r="27" spans="1:252" s="96" customFormat="1" ht="20.25" customHeight="1">
      <c r="A27" s="32" t="str">
        <f t="shared" si="0"/>
        <v>Donnerstag</v>
      </c>
      <c r="B27" s="37">
        <f t="shared" si="2"/>
        <v>42831</v>
      </c>
      <c r="C27" s="185" t="str">
        <f>IF(OR(A27="Samstag",A27="Sonntag"),"",IF(COUNTIF(Übersicht!C$16:C$30,B27)&gt;0,"BA",""))</f>
        <v/>
      </c>
      <c r="D27" s="38"/>
      <c r="E27" s="172">
        <f t="shared" si="4"/>
        <v>0</v>
      </c>
      <c r="F27" s="176"/>
      <c r="G27" s="177"/>
      <c r="H27" s="178"/>
      <c r="I27" s="38">
        <f t="shared" si="1"/>
        <v>0</v>
      </c>
      <c r="J27" s="35">
        <f t="shared" si="3"/>
        <v>0</v>
      </c>
      <c r="K27" s="36">
        <f>SUM(K26,J27)</f>
        <v>0</v>
      </c>
      <c r="L27" s="251"/>
      <c r="M27" s="252"/>
      <c r="N27" s="252"/>
      <c r="O27" s="252"/>
      <c r="P27" s="253"/>
      <c r="Q27" s="89"/>
      <c r="R27" s="165"/>
      <c r="S27" s="76"/>
      <c r="T27" s="76"/>
      <c r="U27" s="76"/>
      <c r="V27" s="76"/>
      <c r="W27" s="76"/>
      <c r="X27" s="76"/>
      <c r="Y27" s="76"/>
      <c r="Z27" s="76"/>
      <c r="AA27" s="68"/>
      <c r="AB27" s="166"/>
      <c r="AC27" s="6"/>
      <c r="AD27" s="95"/>
      <c r="AE27" s="99"/>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row>
    <row r="28" spans="1:252" s="96" customFormat="1" ht="20.25" customHeight="1">
      <c r="A28" s="32" t="str">
        <f t="shared" si="0"/>
        <v>Freitag</v>
      </c>
      <c r="B28" s="37">
        <f t="shared" si="2"/>
        <v>42832</v>
      </c>
      <c r="C28" s="185" t="str">
        <f>IF(OR(A28="Samstag",A28="Sonntag"),"",IF(COUNTIF(Übersicht!C$16:C$30,B28)&gt;0,"BA",""))</f>
        <v/>
      </c>
      <c r="D28" s="38"/>
      <c r="E28" s="172">
        <f t="shared" si="4"/>
        <v>0</v>
      </c>
      <c r="F28" s="176"/>
      <c r="G28" s="177"/>
      <c r="H28" s="178"/>
      <c r="I28" s="38">
        <f t="shared" si="1"/>
        <v>0</v>
      </c>
      <c r="J28" s="35">
        <f t="shared" si="3"/>
        <v>0</v>
      </c>
      <c r="K28" s="36">
        <f t="shared" si="5"/>
        <v>0</v>
      </c>
      <c r="L28" s="251"/>
      <c r="M28" s="252"/>
      <c r="N28" s="252"/>
      <c r="O28" s="252"/>
      <c r="P28" s="253"/>
      <c r="Q28" s="89"/>
      <c r="R28" s="165"/>
      <c r="S28" s="76"/>
      <c r="T28" s="76"/>
      <c r="U28" s="76"/>
      <c r="V28" s="76"/>
      <c r="W28" s="76"/>
      <c r="X28" s="76"/>
      <c r="Y28" s="76"/>
      <c r="Z28" s="76"/>
      <c r="AA28" s="68"/>
      <c r="AB28" s="166"/>
      <c r="AC28" s="6"/>
      <c r="AD28" s="95"/>
      <c r="AE28" s="99"/>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row>
    <row r="29" spans="1:252" s="96" customFormat="1" ht="20.25" customHeight="1">
      <c r="A29" s="32" t="str">
        <f t="shared" si="0"/>
        <v>Samstag</v>
      </c>
      <c r="B29" s="37">
        <f t="shared" si="2"/>
        <v>42833</v>
      </c>
      <c r="C29" s="185" t="str">
        <f>IF(OR(A29="Samstag",A29="Sonntag"),"",IF(COUNTIF(Übersicht!C$16:C$30,B29)&gt;0,"BA",""))</f>
        <v/>
      </c>
      <c r="D29" s="38"/>
      <c r="E29" s="172" t="str">
        <f t="shared" si="4"/>
        <v/>
      </c>
      <c r="F29" s="176"/>
      <c r="G29" s="177"/>
      <c r="H29" s="178"/>
      <c r="I29" s="38">
        <f t="shared" si="1"/>
        <v>0</v>
      </c>
      <c r="J29" s="35">
        <f t="shared" si="3"/>
        <v>0</v>
      </c>
      <c r="K29" s="36">
        <f t="shared" si="5"/>
        <v>0</v>
      </c>
      <c r="L29" s="251"/>
      <c r="M29" s="252"/>
      <c r="N29" s="252"/>
      <c r="O29" s="252"/>
      <c r="P29" s="253"/>
      <c r="Q29" s="89"/>
      <c r="R29" s="165"/>
      <c r="S29" s="76"/>
      <c r="T29" s="76"/>
      <c r="U29" s="76"/>
      <c r="V29" s="76"/>
      <c r="W29" s="76"/>
      <c r="X29" s="76"/>
      <c r="Y29" s="76"/>
      <c r="Z29" s="76"/>
      <c r="AA29" s="68"/>
      <c r="AB29" s="166"/>
      <c r="AC29" s="6"/>
      <c r="AD29" s="95"/>
      <c r="AE29" s="99"/>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row>
    <row r="30" spans="1:252" s="96" customFormat="1" ht="20.25" customHeight="1">
      <c r="A30" s="32" t="str">
        <f t="shared" si="0"/>
        <v>Sonntag</v>
      </c>
      <c r="B30" s="37">
        <f t="shared" si="2"/>
        <v>42834</v>
      </c>
      <c r="C30" s="185" t="str">
        <f>IF(OR(A30="Samstag",A30="Sonntag"),"",IF(COUNTIF(Übersicht!C$16:C$30,B30)&gt;0,"BA",""))</f>
        <v/>
      </c>
      <c r="D30" s="38"/>
      <c r="E30" s="172" t="str">
        <f t="shared" si="4"/>
        <v/>
      </c>
      <c r="F30" s="176"/>
      <c r="G30" s="177"/>
      <c r="H30" s="178"/>
      <c r="I30" s="38">
        <f t="shared" si="1"/>
        <v>0</v>
      </c>
      <c r="J30" s="35">
        <f t="shared" si="3"/>
        <v>0</v>
      </c>
      <c r="K30" s="36">
        <f t="shared" si="5"/>
        <v>0</v>
      </c>
      <c r="L30" s="251"/>
      <c r="M30" s="252"/>
      <c r="N30" s="252"/>
      <c r="O30" s="252"/>
      <c r="P30" s="253"/>
      <c r="Q30" s="89"/>
      <c r="R30" s="165"/>
      <c r="S30" s="76"/>
      <c r="T30" s="76"/>
      <c r="U30" s="76"/>
      <c r="V30" s="76"/>
      <c r="W30" s="76"/>
      <c r="X30" s="76"/>
      <c r="Y30" s="76"/>
      <c r="Z30" s="76"/>
      <c r="AA30" s="68"/>
      <c r="AB30" s="166"/>
      <c r="AC30" s="6"/>
      <c r="AD30" s="95"/>
      <c r="AE30" s="99"/>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row>
    <row r="31" spans="1:252" s="96" customFormat="1" ht="20.25" customHeight="1">
      <c r="A31" s="32" t="str">
        <f t="shared" si="0"/>
        <v>Montag</v>
      </c>
      <c r="B31" s="37">
        <f t="shared" si="2"/>
        <v>42835</v>
      </c>
      <c r="C31" s="185" t="str">
        <f>IF(OR(A31="Samstag",A31="Sonntag"),"",IF(COUNTIF(Übersicht!C$16:C$30,B31)&gt;0,"BA",""))</f>
        <v/>
      </c>
      <c r="D31" s="38"/>
      <c r="E31" s="172">
        <f t="shared" si="4"/>
        <v>0</v>
      </c>
      <c r="F31" s="176"/>
      <c r="G31" s="177"/>
      <c r="H31" s="178"/>
      <c r="I31" s="38">
        <f t="shared" si="1"/>
        <v>0</v>
      </c>
      <c r="J31" s="35">
        <f t="shared" si="3"/>
        <v>0</v>
      </c>
      <c r="K31" s="36">
        <f t="shared" si="5"/>
        <v>0</v>
      </c>
      <c r="L31" s="251"/>
      <c r="M31" s="252"/>
      <c r="N31" s="252"/>
      <c r="O31" s="252"/>
      <c r="P31" s="253"/>
      <c r="Q31" s="89"/>
      <c r="R31" s="165"/>
      <c r="S31" s="76"/>
      <c r="T31" s="76"/>
      <c r="U31" s="76"/>
      <c r="V31" s="76"/>
      <c r="W31" s="76"/>
      <c r="X31" s="76"/>
      <c r="Y31" s="76"/>
      <c r="Z31" s="76"/>
      <c r="AA31" s="68"/>
      <c r="AB31" s="166"/>
      <c r="AC31" s="6"/>
      <c r="AD31" s="95"/>
      <c r="AE31" s="99"/>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row>
    <row r="32" spans="1:252" s="96" customFormat="1" ht="20.25" customHeight="1">
      <c r="A32" s="32" t="str">
        <f t="shared" si="0"/>
        <v>Dienstag</v>
      </c>
      <c r="B32" s="37">
        <f t="shared" si="2"/>
        <v>42836</v>
      </c>
      <c r="C32" s="185" t="str">
        <f>IF(OR(A32="Samstag",A32="Sonntag"),"",IF(COUNTIF(Übersicht!C$16:C$30,B32)&gt;0,"BA",""))</f>
        <v/>
      </c>
      <c r="D32" s="38"/>
      <c r="E32" s="172">
        <f t="shared" si="4"/>
        <v>0</v>
      </c>
      <c r="F32" s="176"/>
      <c r="G32" s="177"/>
      <c r="H32" s="178"/>
      <c r="I32" s="38">
        <f t="shared" si="1"/>
        <v>0</v>
      </c>
      <c r="J32" s="35">
        <f t="shared" si="3"/>
        <v>0</v>
      </c>
      <c r="K32" s="36">
        <f t="shared" si="5"/>
        <v>0</v>
      </c>
      <c r="L32" s="251"/>
      <c r="M32" s="252"/>
      <c r="N32" s="252"/>
      <c r="O32" s="252"/>
      <c r="P32" s="253"/>
      <c r="Q32" s="89"/>
      <c r="R32" s="165"/>
      <c r="S32" s="76"/>
      <c r="T32" s="76"/>
      <c r="U32" s="76"/>
      <c r="V32" s="76"/>
      <c r="W32" s="76"/>
      <c r="X32" s="76"/>
      <c r="Y32" s="76"/>
      <c r="Z32" s="76"/>
      <c r="AA32" s="68"/>
      <c r="AB32" s="166"/>
      <c r="AC32" s="6"/>
      <c r="AD32" s="95"/>
      <c r="AE32" s="99"/>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row>
    <row r="33" spans="1:252" s="96" customFormat="1" ht="20.25" customHeight="1">
      <c r="A33" s="32" t="str">
        <f t="shared" si="0"/>
        <v>Mittwoch</v>
      </c>
      <c r="B33" s="37">
        <f t="shared" si="2"/>
        <v>42837</v>
      </c>
      <c r="C33" s="185" t="str">
        <f>IF(OR(A33="Samstag",A33="Sonntag"),"",IF(COUNTIF(Übersicht!C$16:C$30,B33)&gt;0,"BA",""))</f>
        <v/>
      </c>
      <c r="D33" s="38"/>
      <c r="E33" s="172">
        <f t="shared" si="4"/>
        <v>0</v>
      </c>
      <c r="F33" s="176"/>
      <c r="G33" s="177"/>
      <c r="H33" s="178"/>
      <c r="I33" s="38">
        <f t="shared" si="1"/>
        <v>0</v>
      </c>
      <c r="J33" s="35">
        <f t="shared" si="3"/>
        <v>0</v>
      </c>
      <c r="K33" s="36">
        <f t="shared" si="5"/>
        <v>0</v>
      </c>
      <c r="L33" s="251"/>
      <c r="M33" s="252"/>
      <c r="N33" s="252"/>
      <c r="O33" s="252"/>
      <c r="P33" s="253"/>
      <c r="Q33" s="89"/>
      <c r="R33" s="165"/>
      <c r="S33" s="76"/>
      <c r="T33" s="76"/>
      <c r="U33" s="76"/>
      <c r="V33" s="76"/>
      <c r="W33" s="76"/>
      <c r="X33" s="76"/>
      <c r="Y33" s="76"/>
      <c r="Z33" s="76"/>
      <c r="AA33" s="68"/>
      <c r="AB33" s="166"/>
      <c r="AC33" s="6"/>
      <c r="AD33" s="95"/>
      <c r="AE33" s="99"/>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row>
    <row r="34" spans="1:252" s="96" customFormat="1" ht="20.25" customHeight="1">
      <c r="A34" s="32" t="str">
        <f t="shared" si="0"/>
        <v>Donnerstag</v>
      </c>
      <c r="B34" s="37">
        <f t="shared" si="2"/>
        <v>42838</v>
      </c>
      <c r="C34" s="185" t="str">
        <f>IF(OR(A34="Samstag",A34="Sonntag"),"",IF(COUNTIF(Übersicht!C$16:C$30,B34)&gt;0,"BA",""))</f>
        <v/>
      </c>
      <c r="D34" s="38"/>
      <c r="E34" s="172">
        <f t="shared" si="4"/>
        <v>0</v>
      </c>
      <c r="F34" s="176"/>
      <c r="G34" s="177"/>
      <c r="H34" s="178"/>
      <c r="I34" s="38">
        <f t="shared" si="1"/>
        <v>0</v>
      </c>
      <c r="J34" s="35">
        <f t="shared" si="3"/>
        <v>0</v>
      </c>
      <c r="K34" s="36">
        <f t="shared" si="5"/>
        <v>0</v>
      </c>
      <c r="L34" s="251"/>
      <c r="M34" s="252"/>
      <c r="N34" s="252"/>
      <c r="O34" s="252"/>
      <c r="P34" s="253"/>
      <c r="Q34" s="89"/>
      <c r="R34" s="165"/>
      <c r="S34" s="76"/>
      <c r="T34" s="76"/>
      <c r="U34" s="76"/>
      <c r="V34" s="76"/>
      <c r="W34" s="76"/>
      <c r="X34" s="76"/>
      <c r="Y34" s="76"/>
      <c r="Z34" s="76"/>
      <c r="AA34" s="68"/>
      <c r="AB34" s="166"/>
      <c r="AC34" s="6"/>
      <c r="AD34" s="95"/>
      <c r="AE34" s="99"/>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row>
    <row r="35" spans="1:252" s="96" customFormat="1" ht="20.25" customHeight="1">
      <c r="A35" s="32" t="str">
        <f t="shared" si="0"/>
        <v>Freitag</v>
      </c>
      <c r="B35" s="37">
        <f t="shared" si="2"/>
        <v>42839</v>
      </c>
      <c r="C35" s="185" t="str">
        <f>IF(OR(A35="Samstag",A35="Sonntag"),"",IF(COUNTIF(Übersicht!C$16:C$30,B35)&gt;0,"BA",""))</f>
        <v>BA</v>
      </c>
      <c r="D35" s="38"/>
      <c r="E35" s="172" t="str">
        <f t="shared" si="4"/>
        <v/>
      </c>
      <c r="F35" s="176"/>
      <c r="G35" s="177"/>
      <c r="H35" s="178"/>
      <c r="I35" s="38">
        <f t="shared" si="1"/>
        <v>0</v>
      </c>
      <c r="J35" s="35">
        <f t="shared" si="3"/>
        <v>0</v>
      </c>
      <c r="K35" s="36">
        <f t="shared" si="5"/>
        <v>0</v>
      </c>
      <c r="L35" s="251"/>
      <c r="M35" s="252"/>
      <c r="N35" s="252"/>
      <c r="O35" s="252"/>
      <c r="P35" s="253"/>
      <c r="Q35" s="89"/>
      <c r="R35" s="165"/>
      <c r="S35" s="76"/>
      <c r="T35" s="76"/>
      <c r="U35" s="76"/>
      <c r="V35" s="76"/>
      <c r="W35" s="76"/>
      <c r="X35" s="76"/>
      <c r="Y35" s="76"/>
      <c r="Z35" s="76"/>
      <c r="AA35" s="68"/>
      <c r="AB35" s="166"/>
      <c r="AC35" s="6"/>
      <c r="AD35" s="95"/>
      <c r="AE35" s="99"/>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row>
    <row r="36" spans="1:252" s="96" customFormat="1" ht="20.25" customHeight="1">
      <c r="A36" s="32" t="str">
        <f t="shared" si="0"/>
        <v>Samstag</v>
      </c>
      <c r="B36" s="37">
        <f t="shared" si="2"/>
        <v>42840</v>
      </c>
      <c r="C36" s="185" t="str">
        <f>IF(OR(A36="Samstag",A36="Sonntag"),"",IF(COUNTIF(Übersicht!C$16:C$30,B36)&gt;0,"BA",""))</f>
        <v/>
      </c>
      <c r="D36" s="38"/>
      <c r="E36" s="172" t="str">
        <f t="shared" si="4"/>
        <v/>
      </c>
      <c r="F36" s="176"/>
      <c r="G36" s="177"/>
      <c r="H36" s="178"/>
      <c r="I36" s="38">
        <f t="shared" si="1"/>
        <v>0</v>
      </c>
      <c r="J36" s="35">
        <f t="shared" si="3"/>
        <v>0</v>
      </c>
      <c r="K36" s="36">
        <f t="shared" si="5"/>
        <v>0</v>
      </c>
      <c r="L36" s="251"/>
      <c r="M36" s="252"/>
      <c r="N36" s="252"/>
      <c r="O36" s="252"/>
      <c r="P36" s="253"/>
      <c r="Q36" s="89"/>
      <c r="R36" s="165"/>
      <c r="S36" s="76"/>
      <c r="T36" s="76"/>
      <c r="U36" s="76"/>
      <c r="V36" s="76"/>
      <c r="W36" s="76"/>
      <c r="X36" s="76"/>
      <c r="Y36" s="76"/>
      <c r="Z36" s="76"/>
      <c r="AA36" s="68"/>
      <c r="AB36" s="166"/>
      <c r="AC36" s="6"/>
      <c r="AD36" s="95"/>
      <c r="AE36" s="99"/>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row>
    <row r="37" spans="1:252" s="96" customFormat="1" ht="20.25" customHeight="1">
      <c r="A37" s="32" t="str">
        <f t="shared" si="0"/>
        <v>Sonntag</v>
      </c>
      <c r="B37" s="37">
        <f t="shared" si="2"/>
        <v>42841</v>
      </c>
      <c r="C37" s="185" t="str">
        <f>IF(OR(A37="Samstag",A37="Sonntag"),"",IF(COUNTIF(Übersicht!C$16:C$30,B37)&gt;0,"BA",""))</f>
        <v/>
      </c>
      <c r="D37" s="38"/>
      <c r="E37" s="172" t="str">
        <f t="shared" si="4"/>
        <v/>
      </c>
      <c r="F37" s="176"/>
      <c r="G37" s="177"/>
      <c r="H37" s="178"/>
      <c r="I37" s="38">
        <f t="shared" si="1"/>
        <v>0</v>
      </c>
      <c r="J37" s="35">
        <f t="shared" si="3"/>
        <v>0</v>
      </c>
      <c r="K37" s="36">
        <f t="shared" si="5"/>
        <v>0</v>
      </c>
      <c r="L37" s="251"/>
      <c r="M37" s="252"/>
      <c r="N37" s="252"/>
      <c r="O37" s="252"/>
      <c r="P37" s="253"/>
      <c r="Q37" s="89"/>
      <c r="R37" s="165"/>
      <c r="S37" s="76"/>
      <c r="T37" s="76"/>
      <c r="U37" s="76"/>
      <c r="V37" s="76"/>
      <c r="W37" s="76"/>
      <c r="X37" s="76"/>
      <c r="Y37" s="76"/>
      <c r="Z37" s="76"/>
      <c r="AA37" s="68"/>
      <c r="AB37" s="166"/>
      <c r="AC37" s="6"/>
      <c r="AD37" s="95"/>
      <c r="AE37" s="99"/>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row>
    <row r="38" spans="1:252" s="96" customFormat="1" ht="20.25" customHeight="1">
      <c r="A38" s="32" t="str">
        <f t="shared" si="0"/>
        <v>Montag</v>
      </c>
      <c r="B38" s="37">
        <f t="shared" si="2"/>
        <v>42842</v>
      </c>
      <c r="C38" s="185" t="str">
        <f>IF(OR(A38="Samstag",A38="Sonntag"),"",IF(COUNTIF(Übersicht!C$16:C$30,B38)&gt;0,"BA",""))</f>
        <v>BA</v>
      </c>
      <c r="D38" s="38"/>
      <c r="E38" s="172" t="str">
        <f t="shared" si="4"/>
        <v/>
      </c>
      <c r="F38" s="176"/>
      <c r="G38" s="177"/>
      <c r="H38" s="178"/>
      <c r="I38" s="38">
        <f t="shared" si="1"/>
        <v>0</v>
      </c>
      <c r="J38" s="35">
        <f t="shared" si="3"/>
        <v>0</v>
      </c>
      <c r="K38" s="36">
        <f t="shared" si="5"/>
        <v>0</v>
      </c>
      <c r="L38" s="251"/>
      <c r="M38" s="252"/>
      <c r="N38" s="252"/>
      <c r="O38" s="252"/>
      <c r="P38" s="253"/>
      <c r="Q38" s="89"/>
      <c r="R38" s="165"/>
      <c r="S38" s="76"/>
      <c r="T38" s="76"/>
      <c r="U38" s="76"/>
      <c r="V38" s="76"/>
      <c r="W38" s="76"/>
      <c r="X38" s="76"/>
      <c r="Y38" s="76"/>
      <c r="Z38" s="76"/>
      <c r="AA38" s="68"/>
      <c r="AB38" s="166"/>
      <c r="AC38" s="6"/>
      <c r="AD38" s="95"/>
      <c r="AE38" s="99"/>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row>
    <row r="39" spans="1:252" s="96" customFormat="1" ht="20.25" customHeight="1">
      <c r="A39" s="32" t="str">
        <f t="shared" si="0"/>
        <v>Dienstag</v>
      </c>
      <c r="B39" s="37">
        <f t="shared" si="2"/>
        <v>42843</v>
      </c>
      <c r="C39" s="185" t="str">
        <f>IF(OR(A39="Samstag",A39="Sonntag"),"",IF(COUNTIF(Übersicht!C$16:C$30,B39)&gt;0,"BA",""))</f>
        <v/>
      </c>
      <c r="D39" s="38"/>
      <c r="E39" s="172">
        <f t="shared" si="4"/>
        <v>2</v>
      </c>
      <c r="F39" s="176"/>
      <c r="G39" s="177"/>
      <c r="H39" s="178"/>
      <c r="I39" s="38">
        <f t="shared" si="1"/>
        <v>0</v>
      </c>
      <c r="J39" s="35">
        <f t="shared" si="3"/>
        <v>-2</v>
      </c>
      <c r="K39" s="36">
        <f t="shared" si="5"/>
        <v>-2</v>
      </c>
      <c r="L39" s="251"/>
      <c r="M39" s="252"/>
      <c r="N39" s="252"/>
      <c r="O39" s="252"/>
      <c r="P39" s="253"/>
      <c r="Q39" s="89"/>
      <c r="R39" s="165"/>
      <c r="S39" s="76"/>
      <c r="T39" s="76"/>
      <c r="U39" s="76"/>
      <c r="V39" s="76"/>
      <c r="W39" s="76"/>
      <c r="X39" s="76"/>
      <c r="Y39" s="76"/>
      <c r="Z39" s="76"/>
      <c r="AA39" s="68"/>
      <c r="AB39" s="166"/>
      <c r="AC39" s="6"/>
      <c r="AD39" s="95"/>
      <c r="AE39" s="99"/>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row>
    <row r="40" spans="1:252" s="96" customFormat="1" ht="20.25" customHeight="1">
      <c r="A40" s="32" t="str">
        <f t="shared" si="0"/>
        <v>Mittwoch</v>
      </c>
      <c r="B40" s="37">
        <f t="shared" si="2"/>
        <v>42844</v>
      </c>
      <c r="C40" s="185" t="str">
        <f>IF(OR(A40="Samstag",A40="Sonntag"),"",IF(COUNTIF(Übersicht!C$16:C$30,B40)&gt;0,"BA",""))</f>
        <v/>
      </c>
      <c r="D40" s="38"/>
      <c r="E40" s="172">
        <f t="shared" si="4"/>
        <v>2</v>
      </c>
      <c r="F40" s="176"/>
      <c r="G40" s="177"/>
      <c r="H40" s="178"/>
      <c r="I40" s="38">
        <f t="shared" si="1"/>
        <v>0</v>
      </c>
      <c r="J40" s="35">
        <f t="shared" si="3"/>
        <v>-2</v>
      </c>
      <c r="K40" s="36">
        <f t="shared" si="5"/>
        <v>-4</v>
      </c>
      <c r="L40" s="251"/>
      <c r="M40" s="252"/>
      <c r="N40" s="252"/>
      <c r="O40" s="252"/>
      <c r="P40" s="253"/>
      <c r="Q40" s="89"/>
      <c r="R40" s="165"/>
      <c r="S40" s="76"/>
      <c r="T40" s="76"/>
      <c r="U40" s="76"/>
      <c r="V40" s="76"/>
      <c r="W40" s="76"/>
      <c r="X40" s="76"/>
      <c r="Y40" s="76"/>
      <c r="Z40" s="76"/>
      <c r="AA40" s="68"/>
      <c r="AB40" s="166"/>
      <c r="AC40" s="6"/>
      <c r="AD40" s="95"/>
      <c r="AE40" s="99"/>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row>
    <row r="41" spans="1:252" s="96" customFormat="1" ht="20.25" customHeight="1">
      <c r="A41" s="32" t="str">
        <f t="shared" si="0"/>
        <v>Donnerstag</v>
      </c>
      <c r="B41" s="37">
        <f t="shared" si="2"/>
        <v>42845</v>
      </c>
      <c r="C41" s="185" t="str">
        <f>IF(OR(A41="Samstag",A41="Sonntag"),"",IF(COUNTIF(Übersicht!C$16:C$30,B41)&gt;0,"BA",""))</f>
        <v/>
      </c>
      <c r="D41" s="38"/>
      <c r="E41" s="172">
        <f t="shared" si="4"/>
        <v>2</v>
      </c>
      <c r="F41" s="176"/>
      <c r="G41" s="177"/>
      <c r="H41" s="178"/>
      <c r="I41" s="38">
        <f t="shared" si="1"/>
        <v>0</v>
      </c>
      <c r="J41" s="35">
        <f t="shared" si="3"/>
        <v>-2</v>
      </c>
      <c r="K41" s="36">
        <f t="shared" si="5"/>
        <v>-6</v>
      </c>
      <c r="L41" s="251"/>
      <c r="M41" s="252"/>
      <c r="N41" s="252"/>
      <c r="O41" s="252"/>
      <c r="P41" s="253"/>
      <c r="Q41" s="89"/>
      <c r="R41" s="165"/>
      <c r="S41" s="76"/>
      <c r="T41" s="76"/>
      <c r="U41" s="76"/>
      <c r="V41" s="76"/>
      <c r="W41" s="76"/>
      <c r="X41" s="76"/>
      <c r="Y41" s="76"/>
      <c r="Z41" s="76"/>
      <c r="AA41" s="68"/>
      <c r="AB41" s="166"/>
      <c r="AC41" s="6"/>
      <c r="AD41" s="95"/>
      <c r="AE41" s="99"/>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row>
    <row r="42" spans="1:252" s="96" customFormat="1" ht="20.25" customHeight="1">
      <c r="A42" s="32" t="str">
        <f t="shared" si="0"/>
        <v>Freitag</v>
      </c>
      <c r="B42" s="37">
        <f t="shared" si="2"/>
        <v>42846</v>
      </c>
      <c r="C42" s="185" t="str">
        <f>IF(OR(A42="Samstag",A42="Sonntag"),"",IF(COUNTIF(Übersicht!C$16:C$30,B42)&gt;0,"BA",""))</f>
        <v/>
      </c>
      <c r="D42" s="38"/>
      <c r="E42" s="172">
        <f t="shared" si="4"/>
        <v>2</v>
      </c>
      <c r="F42" s="176">
        <v>0.375</v>
      </c>
      <c r="G42" s="177">
        <v>2.0833333333333332E-2</v>
      </c>
      <c r="H42" s="178">
        <v>0.6875</v>
      </c>
      <c r="I42" s="38">
        <f t="shared" si="1"/>
        <v>7</v>
      </c>
      <c r="J42" s="35">
        <f t="shared" si="3"/>
        <v>5</v>
      </c>
      <c r="K42" s="36">
        <f t="shared" si="5"/>
        <v>-1</v>
      </c>
      <c r="L42" s="251"/>
      <c r="M42" s="252"/>
      <c r="N42" s="252"/>
      <c r="O42" s="252"/>
      <c r="P42" s="253"/>
      <c r="Q42" s="89"/>
      <c r="R42" s="165"/>
      <c r="S42" s="76"/>
      <c r="T42" s="76"/>
      <c r="U42" s="76"/>
      <c r="V42" s="76"/>
      <c r="W42" s="76"/>
      <c r="X42" s="76"/>
      <c r="Y42" s="76"/>
      <c r="Z42" s="76"/>
      <c r="AA42" s="68"/>
      <c r="AB42" s="166"/>
      <c r="AC42" s="6"/>
      <c r="AD42" s="95"/>
      <c r="AE42" s="99"/>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row>
    <row r="43" spans="1:252" s="96" customFormat="1" ht="20.25" customHeight="1">
      <c r="A43" s="32" t="str">
        <f t="shared" si="0"/>
        <v>Samstag</v>
      </c>
      <c r="B43" s="37">
        <f t="shared" si="2"/>
        <v>42847</v>
      </c>
      <c r="C43" s="185" t="str">
        <f>IF(OR(A43="Samstag",A43="Sonntag"),"",IF(COUNTIF(Übersicht!C$16:C$30,B43)&gt;0,"BA",""))</f>
        <v/>
      </c>
      <c r="D43" s="38"/>
      <c r="E43" s="172" t="str">
        <f t="shared" si="4"/>
        <v/>
      </c>
      <c r="F43" s="176"/>
      <c r="G43" s="177"/>
      <c r="H43" s="178"/>
      <c r="I43" s="38">
        <f t="shared" si="1"/>
        <v>0</v>
      </c>
      <c r="J43" s="35">
        <f t="shared" si="3"/>
        <v>0</v>
      </c>
      <c r="K43" s="36">
        <f t="shared" si="5"/>
        <v>-1</v>
      </c>
      <c r="L43" s="251"/>
      <c r="M43" s="252"/>
      <c r="N43" s="252"/>
      <c r="O43" s="252"/>
      <c r="P43" s="253"/>
      <c r="Q43" s="89"/>
      <c r="R43" s="165"/>
      <c r="S43" s="76"/>
      <c r="T43" s="76"/>
      <c r="U43" s="76"/>
      <c r="V43" s="76"/>
      <c r="W43" s="76"/>
      <c r="X43" s="76"/>
      <c r="Y43" s="76"/>
      <c r="Z43" s="76"/>
      <c r="AA43" s="68"/>
      <c r="AB43" s="166"/>
      <c r="AC43" s="6"/>
      <c r="AD43" s="95"/>
      <c r="AE43" s="99"/>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row>
    <row r="44" spans="1:252" s="96" customFormat="1" ht="20.25" customHeight="1">
      <c r="A44" s="32" t="str">
        <f t="shared" si="0"/>
        <v>Sonntag</v>
      </c>
      <c r="B44" s="37">
        <f t="shared" si="2"/>
        <v>42848</v>
      </c>
      <c r="C44" s="185" t="str">
        <f>IF(OR(A44="Samstag",A44="Sonntag"),"",IF(COUNTIF(Übersicht!C$16:C$30,B44)&gt;0,"BA",""))</f>
        <v/>
      </c>
      <c r="D44" s="38"/>
      <c r="E44" s="172" t="str">
        <f t="shared" si="4"/>
        <v/>
      </c>
      <c r="F44" s="176"/>
      <c r="G44" s="177"/>
      <c r="H44" s="178"/>
      <c r="I44" s="38">
        <f t="shared" si="1"/>
        <v>0</v>
      </c>
      <c r="J44" s="35">
        <f t="shared" si="3"/>
        <v>0</v>
      </c>
      <c r="K44" s="36">
        <f t="shared" si="5"/>
        <v>-1</v>
      </c>
      <c r="L44" s="251"/>
      <c r="M44" s="252"/>
      <c r="N44" s="252"/>
      <c r="O44" s="252"/>
      <c r="P44" s="253"/>
      <c r="Q44" s="89"/>
      <c r="R44" s="165"/>
      <c r="S44" s="76"/>
      <c r="T44" s="76"/>
      <c r="U44" s="76"/>
      <c r="V44" s="76"/>
      <c r="W44" s="76"/>
      <c r="X44" s="76"/>
      <c r="Y44" s="76"/>
      <c r="Z44" s="76"/>
      <c r="AA44" s="68"/>
      <c r="AB44" s="166"/>
      <c r="AC44" s="6"/>
      <c r="AD44" s="95"/>
      <c r="AE44" s="99"/>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row>
    <row r="45" spans="1:252" s="96" customFormat="1" ht="20.25" customHeight="1">
      <c r="A45" s="32" t="str">
        <f t="shared" si="0"/>
        <v>Montag</v>
      </c>
      <c r="B45" s="37">
        <f t="shared" si="2"/>
        <v>42849</v>
      </c>
      <c r="C45" s="185" t="str">
        <f>IF(OR(A45="Samstag",A45="Sonntag"),"",IF(COUNTIF(Übersicht!C$16:C$30,B45)&gt;0,"BA",""))</f>
        <v/>
      </c>
      <c r="D45" s="38"/>
      <c r="E45" s="172">
        <f t="shared" si="4"/>
        <v>2</v>
      </c>
      <c r="F45" s="176"/>
      <c r="G45" s="177"/>
      <c r="H45" s="178"/>
      <c r="I45" s="38">
        <f t="shared" si="1"/>
        <v>0</v>
      </c>
      <c r="J45" s="35">
        <f t="shared" si="3"/>
        <v>-2</v>
      </c>
      <c r="K45" s="36">
        <f t="shared" si="5"/>
        <v>-3</v>
      </c>
      <c r="L45" s="251"/>
      <c r="M45" s="252"/>
      <c r="N45" s="252"/>
      <c r="O45" s="252"/>
      <c r="P45" s="253"/>
      <c r="Q45" s="89"/>
      <c r="R45" s="165"/>
      <c r="S45" s="76"/>
      <c r="T45" s="76"/>
      <c r="U45" s="76"/>
      <c r="V45" s="76"/>
      <c r="W45" s="76"/>
      <c r="X45" s="76"/>
      <c r="Y45" s="76"/>
      <c r="Z45" s="76"/>
      <c r="AA45" s="68"/>
      <c r="AB45" s="166"/>
      <c r="AC45" s="6"/>
      <c r="AD45" s="95"/>
      <c r="AE45" s="99"/>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row>
    <row r="46" spans="1:252" s="96" customFormat="1" ht="20.25" customHeight="1">
      <c r="A46" s="32" t="str">
        <f t="shared" si="0"/>
        <v>Dienstag</v>
      </c>
      <c r="B46" s="37">
        <f t="shared" si="2"/>
        <v>42850</v>
      </c>
      <c r="C46" s="185" t="str">
        <f>IF(OR(A46="Samstag",A46="Sonntag"),"",IF(COUNTIF(Übersicht!C$16:C$30,B46)&gt;0,"BA",""))</f>
        <v/>
      </c>
      <c r="D46" s="38"/>
      <c r="E46" s="172">
        <f t="shared" si="4"/>
        <v>2</v>
      </c>
      <c r="F46" s="176"/>
      <c r="G46" s="177"/>
      <c r="H46" s="178"/>
      <c r="I46" s="38">
        <f t="shared" si="1"/>
        <v>0</v>
      </c>
      <c r="J46" s="35">
        <f t="shared" si="3"/>
        <v>-2</v>
      </c>
      <c r="K46" s="36">
        <f t="shared" si="5"/>
        <v>-5</v>
      </c>
      <c r="L46" s="251"/>
      <c r="M46" s="252"/>
      <c r="N46" s="252"/>
      <c r="O46" s="252"/>
      <c r="P46" s="253"/>
      <c r="Q46" s="89"/>
      <c r="R46" s="165"/>
      <c r="S46" s="76"/>
      <c r="T46" s="76"/>
      <c r="U46" s="76"/>
      <c r="V46" s="76"/>
      <c r="W46" s="76"/>
      <c r="X46" s="76"/>
      <c r="Y46" s="76"/>
      <c r="Z46" s="76"/>
      <c r="AA46" s="68"/>
      <c r="AB46" s="166"/>
      <c r="AC46" s="6"/>
      <c r="AD46" s="95"/>
      <c r="AE46" s="99"/>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row>
    <row r="47" spans="1:252" s="96" customFormat="1" ht="20.25" customHeight="1">
      <c r="A47" s="32" t="str">
        <f t="shared" si="0"/>
        <v>Mittwoch</v>
      </c>
      <c r="B47" s="37">
        <f t="shared" si="2"/>
        <v>42851</v>
      </c>
      <c r="C47" s="185" t="str">
        <f>IF(OR(A47="Samstag",A47="Sonntag"),"",IF(COUNTIF(Übersicht!C$16:C$30,B47)&gt;0,"BA",""))</f>
        <v/>
      </c>
      <c r="D47" s="38"/>
      <c r="E47" s="172">
        <f t="shared" si="4"/>
        <v>2</v>
      </c>
      <c r="F47" s="176">
        <v>0.375</v>
      </c>
      <c r="G47" s="177">
        <v>2.0833333333333332E-2</v>
      </c>
      <c r="H47" s="178">
        <v>0.69791666666666663</v>
      </c>
      <c r="I47" s="38">
        <f t="shared" si="1"/>
        <v>7.25</v>
      </c>
      <c r="J47" s="35">
        <f t="shared" si="3"/>
        <v>5.25</v>
      </c>
      <c r="K47" s="36">
        <f t="shared" si="5"/>
        <v>0.25</v>
      </c>
      <c r="L47" s="251"/>
      <c r="M47" s="252"/>
      <c r="N47" s="252"/>
      <c r="O47" s="252"/>
      <c r="P47" s="253"/>
      <c r="Q47" s="89"/>
      <c r="R47" s="165"/>
      <c r="S47" s="76"/>
      <c r="T47" s="76"/>
      <c r="U47" s="76"/>
      <c r="V47" s="76"/>
      <c r="W47" s="76"/>
      <c r="X47" s="76"/>
      <c r="Y47" s="76"/>
      <c r="Z47" s="76"/>
      <c r="AA47" s="68"/>
      <c r="AB47" s="166"/>
      <c r="AC47" s="6"/>
      <c r="AD47" s="95"/>
      <c r="AE47" s="99"/>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row>
    <row r="48" spans="1:252" s="96" customFormat="1" ht="20.25" customHeight="1">
      <c r="A48" s="32" t="str">
        <f t="shared" si="0"/>
        <v>Donnerstag</v>
      </c>
      <c r="B48" s="37">
        <f t="shared" si="2"/>
        <v>42852</v>
      </c>
      <c r="C48" s="185" t="str">
        <f>IF(OR(A48="Samstag",A48="Sonntag"),"",IF(COUNTIF(Übersicht!C$16:C$30,B48)&gt;0,"BA",""))</f>
        <v/>
      </c>
      <c r="D48" s="38"/>
      <c r="E48" s="172">
        <f t="shared" si="4"/>
        <v>2</v>
      </c>
      <c r="F48" s="176"/>
      <c r="G48" s="177"/>
      <c r="H48" s="178"/>
      <c r="I48" s="38">
        <f t="shared" si="1"/>
        <v>0</v>
      </c>
      <c r="J48" s="35">
        <f t="shared" si="3"/>
        <v>-2</v>
      </c>
      <c r="K48" s="36">
        <f t="shared" si="5"/>
        <v>-1.75</v>
      </c>
      <c r="L48" s="251"/>
      <c r="M48" s="252"/>
      <c r="N48" s="252"/>
      <c r="O48" s="252"/>
      <c r="P48" s="253"/>
      <c r="Q48" s="89"/>
      <c r="R48" s="165"/>
      <c r="S48" s="76"/>
      <c r="T48" s="76"/>
      <c r="U48" s="76"/>
      <c r="V48" s="76"/>
      <c r="W48" s="76"/>
      <c r="X48" s="76"/>
      <c r="Y48" s="76"/>
      <c r="Z48" s="76"/>
      <c r="AA48" s="68"/>
      <c r="AB48" s="166"/>
      <c r="AC48" s="6"/>
      <c r="AD48" s="95"/>
      <c r="AE48" s="99"/>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row>
    <row r="49" spans="1:252" s="96" customFormat="1" ht="20.25" customHeight="1">
      <c r="A49" s="32" t="str">
        <f t="shared" si="0"/>
        <v>Freitag</v>
      </c>
      <c r="B49" s="37">
        <f t="shared" si="2"/>
        <v>42853</v>
      </c>
      <c r="C49" s="185" t="str">
        <f>IF(OR(A49="Samstag",A49="Sonntag"),"",IF(COUNTIF(Übersicht!C$16:C$30,B49)&gt;0,"BA",""))</f>
        <v/>
      </c>
      <c r="D49" s="38"/>
      <c r="E49" s="172">
        <f t="shared" si="4"/>
        <v>2</v>
      </c>
      <c r="F49" s="176">
        <v>0.38541666666666669</v>
      </c>
      <c r="G49" s="177">
        <v>0</v>
      </c>
      <c r="H49" s="178">
        <v>0.63541666666666663</v>
      </c>
      <c r="I49" s="38">
        <f t="shared" si="1"/>
        <v>5.9999999999999982</v>
      </c>
      <c r="J49" s="35">
        <f t="shared" si="3"/>
        <v>3.9999999999999982</v>
      </c>
      <c r="K49" s="36">
        <f t="shared" si="5"/>
        <v>2.2499999999999982</v>
      </c>
      <c r="L49" s="251"/>
      <c r="M49" s="252"/>
      <c r="N49" s="252"/>
      <c r="O49" s="252"/>
      <c r="P49" s="253"/>
      <c r="Q49" s="89"/>
      <c r="R49" s="165"/>
      <c r="S49" s="76"/>
      <c r="T49" s="76"/>
      <c r="U49" s="76"/>
      <c r="V49" s="76"/>
      <c r="W49" s="76"/>
      <c r="X49" s="76"/>
      <c r="Y49" s="76"/>
      <c r="Z49" s="76"/>
      <c r="AA49" s="68"/>
      <c r="AB49" s="166"/>
      <c r="AC49" s="6"/>
      <c r="AD49" s="95"/>
      <c r="AE49" s="99"/>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row>
    <row r="50" spans="1:252" s="96" customFormat="1" ht="20.25" customHeight="1">
      <c r="A50" s="32" t="str">
        <f t="shared" si="0"/>
        <v>Samstag</v>
      </c>
      <c r="B50" s="37">
        <f t="shared" si="2"/>
        <v>42854</v>
      </c>
      <c r="C50" s="185" t="str">
        <f>IF(OR(A50="Samstag",A50="Sonntag"),"",IF(COUNTIF(Übersicht!C$16:C$30,B50)&gt;0,"BA",""))</f>
        <v/>
      </c>
      <c r="D50" s="38"/>
      <c r="E50" s="172" t="str">
        <f t="shared" si="4"/>
        <v/>
      </c>
      <c r="F50" s="176"/>
      <c r="G50" s="177"/>
      <c r="H50" s="178"/>
      <c r="I50" s="38">
        <f t="shared" si="1"/>
        <v>0</v>
      </c>
      <c r="J50" s="35">
        <f t="shared" si="3"/>
        <v>0</v>
      </c>
      <c r="K50" s="36">
        <f t="shared" si="5"/>
        <v>2.2499999999999982</v>
      </c>
      <c r="L50" s="251"/>
      <c r="M50" s="252"/>
      <c r="N50" s="252"/>
      <c r="O50" s="252"/>
      <c r="P50" s="253"/>
      <c r="Q50" s="89"/>
      <c r="R50" s="165"/>
      <c r="S50" s="76"/>
      <c r="T50" s="76"/>
      <c r="U50" s="76"/>
      <c r="V50" s="76"/>
      <c r="W50" s="76"/>
      <c r="X50" s="76"/>
      <c r="Y50" s="76"/>
      <c r="Z50" s="76"/>
      <c r="AA50" s="68"/>
      <c r="AB50" s="166"/>
      <c r="AC50" s="6"/>
      <c r="AD50" s="95"/>
      <c r="AE50" s="99"/>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row>
    <row r="51" spans="1:252" s="96" customFormat="1" ht="20.25" customHeight="1">
      <c r="A51" s="32" t="str">
        <f t="shared" si="0"/>
        <v>Sonntag</v>
      </c>
      <c r="B51" s="37">
        <f t="shared" si="2"/>
        <v>42855</v>
      </c>
      <c r="C51" s="185" t="str">
        <f>IF(OR(A51="Samstag",A51="Sonntag"),"",IF(COUNTIF(Übersicht!C$16:C$30,B51)&gt;0,"BA",""))</f>
        <v/>
      </c>
      <c r="D51" s="38"/>
      <c r="E51" s="172" t="str">
        <f t="shared" si="4"/>
        <v/>
      </c>
      <c r="F51" s="176"/>
      <c r="G51" s="177"/>
      <c r="H51" s="178"/>
      <c r="I51" s="38">
        <f t="shared" si="1"/>
        <v>0</v>
      </c>
      <c r="J51" s="35">
        <f t="shared" si="3"/>
        <v>0</v>
      </c>
      <c r="K51" s="36">
        <f t="shared" si="5"/>
        <v>2.2499999999999982</v>
      </c>
      <c r="L51" s="251"/>
      <c r="M51" s="252"/>
      <c r="N51" s="252"/>
      <c r="O51" s="252"/>
      <c r="P51" s="253"/>
      <c r="Q51" s="89"/>
      <c r="R51" s="165"/>
      <c r="S51" s="76"/>
      <c r="T51" s="76"/>
      <c r="U51" s="76"/>
      <c r="V51" s="76"/>
      <c r="W51" s="76"/>
      <c r="X51" s="76"/>
      <c r="Y51" s="76"/>
      <c r="Z51" s="76"/>
      <c r="AA51" s="68"/>
      <c r="AB51" s="166"/>
      <c r="AC51" s="6"/>
      <c r="AD51" s="95"/>
      <c r="AE51" s="99"/>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row>
    <row r="52" spans="1:252" s="96" customFormat="1" ht="20.25" customHeight="1" thickBot="1">
      <c r="A52" s="32" t="str">
        <f t="shared" si="0"/>
        <v>Samstag</v>
      </c>
      <c r="B52" s="37">
        <f t="shared" si="2"/>
        <v>0</v>
      </c>
      <c r="C52" s="185" t="str">
        <f>IF(OR(A52="Samstag",A52="Sonntag"),"",IF(COUNTIF(Übersicht!C$16:C$30,B52)&gt;0,"BA",""))</f>
        <v/>
      </c>
      <c r="D52" s="39"/>
      <c r="E52" s="172" t="str">
        <f t="shared" si="4"/>
        <v/>
      </c>
      <c r="F52" s="198"/>
      <c r="G52" s="199"/>
      <c r="H52" s="200"/>
      <c r="I52" s="38">
        <f t="shared" si="1"/>
        <v>0</v>
      </c>
      <c r="J52" s="35">
        <f t="shared" si="3"/>
        <v>0</v>
      </c>
      <c r="K52" s="40">
        <f t="shared" si="5"/>
        <v>2.2499999999999982</v>
      </c>
      <c r="L52" s="282"/>
      <c r="M52" s="283"/>
      <c r="N52" s="283"/>
      <c r="O52" s="283"/>
      <c r="P52" s="284"/>
      <c r="Q52" s="89"/>
      <c r="R52" s="165"/>
      <c r="S52" s="77"/>
      <c r="T52" s="77"/>
      <c r="U52" s="77"/>
      <c r="V52" s="77"/>
      <c r="W52" s="77"/>
      <c r="X52" s="77"/>
      <c r="Y52" s="77"/>
      <c r="Z52" s="78"/>
      <c r="AA52" s="68"/>
      <c r="AB52" s="166"/>
      <c r="AC52" s="6"/>
      <c r="AD52" s="95"/>
      <c r="AE52" s="99"/>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row>
    <row r="53" spans="1:252" s="96" customFormat="1" ht="18.75" customHeight="1">
      <c r="A53" s="6"/>
      <c r="B53" s="41" t="s">
        <v>26</v>
      </c>
      <c r="C53" s="42"/>
      <c r="D53" s="43"/>
      <c r="E53" s="43" t="s">
        <v>11</v>
      </c>
      <c r="F53" s="44"/>
      <c r="G53" s="44"/>
      <c r="H53" s="44"/>
      <c r="I53" s="43" t="s">
        <v>20</v>
      </c>
      <c r="J53" s="43" t="s">
        <v>28</v>
      </c>
      <c r="K53" s="43" t="s">
        <v>27</v>
      </c>
      <c r="L53" s="45"/>
      <c r="M53" s="45"/>
      <c r="N53" s="45"/>
      <c r="O53" s="45"/>
      <c r="P53" s="46"/>
      <c r="Q53" s="160"/>
      <c r="R53" s="160"/>
      <c r="S53" s="76"/>
      <c r="T53" s="183"/>
      <c r="U53" s="79"/>
      <c r="V53" s="6"/>
      <c r="W53" s="78"/>
      <c r="X53" s="76"/>
      <c r="Y53" s="80"/>
      <c r="Z53" s="80"/>
      <c r="AA53" s="68"/>
      <c r="AB53" s="68"/>
      <c r="AC53" s="6"/>
      <c r="AD53" s="95"/>
      <c r="AE53" s="99"/>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row>
    <row r="54" spans="1:252" s="96" customFormat="1" ht="18.75" customHeight="1">
      <c r="A54" s="6"/>
      <c r="B54" s="47"/>
      <c r="C54" s="48"/>
      <c r="D54" s="49"/>
      <c r="E54" s="50">
        <f>SUM(E22:E52)</f>
        <v>18</v>
      </c>
      <c r="F54" s="51"/>
      <c r="G54" s="52"/>
      <c r="H54" s="49"/>
      <c r="I54" s="50">
        <f>SUM(I22:I52)</f>
        <v>20.25</v>
      </c>
      <c r="J54" s="50">
        <f>SUM(J22:J52)</f>
        <v>2.2499999999999982</v>
      </c>
      <c r="K54" s="50">
        <f>K52</f>
        <v>2.2499999999999982</v>
      </c>
      <c r="L54" s="91"/>
      <c r="M54" s="91"/>
      <c r="N54" s="91"/>
      <c r="O54" s="91"/>
      <c r="P54" s="53"/>
      <c r="Q54" s="161"/>
      <c r="R54" s="161"/>
      <c r="S54" s="81"/>
      <c r="T54" s="82"/>
      <c r="U54" s="82"/>
      <c r="V54" s="6"/>
      <c r="W54" s="81"/>
      <c r="X54" s="81"/>
      <c r="Y54" s="6"/>
      <c r="Z54" s="6"/>
      <c r="AA54" s="68"/>
      <c r="AB54" s="68"/>
      <c r="AC54" s="6"/>
      <c r="AD54" s="95"/>
      <c r="AE54" s="99"/>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row>
    <row r="55" spans="1:252" s="96" customFormat="1" ht="15">
      <c r="A55" s="6"/>
      <c r="B55" s="54"/>
      <c r="C55" s="54"/>
      <c r="D55" s="54"/>
      <c r="E55" s="54"/>
      <c r="F55" s="55"/>
      <c r="G55" s="56"/>
      <c r="H55" s="100"/>
      <c r="I55" s="6"/>
      <c r="J55" s="101"/>
      <c r="K55" s="257" t="str">
        <f>IF($E$54*1.5&lt;IF($M$7&lt;0,$I$54+$M$7,$I$54),"Überschreitung der zulässigen Monatsarbeitszeit um &gt;50%","")</f>
        <v/>
      </c>
      <c r="L55" s="257"/>
      <c r="M55" s="257"/>
      <c r="N55" s="257"/>
      <c r="O55" s="257"/>
      <c r="P55" s="60"/>
      <c r="Q55" s="162"/>
      <c r="R55" s="162"/>
      <c r="S55" s="83"/>
      <c r="T55" s="83"/>
      <c r="U55" s="83"/>
      <c r="V55" s="6"/>
      <c r="W55" s="6"/>
      <c r="X55" s="76"/>
      <c r="Y55" s="6"/>
      <c r="Z55" s="6"/>
      <c r="AA55" s="68"/>
      <c r="AB55" s="68"/>
      <c r="AC55" s="6"/>
      <c r="AD55" s="95"/>
      <c r="AE55" s="99"/>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row>
    <row r="56" spans="1:252" s="96" customFormat="1" ht="15">
      <c r="A56" s="6"/>
      <c r="B56" s="54"/>
      <c r="C56" s="54"/>
      <c r="D56" s="54"/>
      <c r="E56" s="54"/>
      <c r="F56" s="55"/>
      <c r="G56" s="56"/>
      <c r="H56" s="102"/>
      <c r="I56" s="101"/>
      <c r="J56" s="101"/>
      <c r="K56" s="58"/>
      <c r="L56" s="59"/>
      <c r="M56" s="59"/>
      <c r="N56" s="59"/>
      <c r="O56" s="59"/>
      <c r="P56" s="60"/>
      <c r="Q56" s="162"/>
      <c r="R56" s="162"/>
      <c r="S56" s="83"/>
      <c r="T56" s="83"/>
      <c r="U56" s="83"/>
      <c r="V56" s="6"/>
      <c r="W56" s="6"/>
      <c r="X56" s="81"/>
      <c r="Y56" s="6"/>
      <c r="Z56" s="6"/>
      <c r="AA56" s="68"/>
      <c r="AB56" s="68"/>
      <c r="AC56" s="6"/>
      <c r="AD56" s="95"/>
      <c r="AE56" s="99"/>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row>
    <row r="57" spans="1:252" s="96" customFormat="1" ht="15">
      <c r="A57" s="6"/>
      <c r="B57" s="61"/>
      <c r="C57" s="61"/>
      <c r="D57" s="61"/>
      <c r="E57" s="61"/>
      <c r="F57" s="61"/>
      <c r="G57" s="61"/>
      <c r="H57" s="62"/>
      <c r="I57" s="6"/>
      <c r="J57" s="6"/>
      <c r="K57" s="6" t="s">
        <v>75</v>
      </c>
      <c r="L57" s="6"/>
      <c r="M57" s="6"/>
      <c r="N57" s="6"/>
      <c r="O57" s="57"/>
      <c r="P57" s="24"/>
      <c r="Q57" s="156"/>
      <c r="R57" s="156"/>
      <c r="S57" s="6"/>
      <c r="T57" s="6"/>
      <c r="U57" s="6"/>
      <c r="V57" s="6"/>
      <c r="W57" s="6"/>
      <c r="X57" s="6"/>
      <c r="Y57" s="6"/>
      <c r="Z57" s="6"/>
      <c r="AA57" s="68"/>
      <c r="AB57" s="68"/>
      <c r="AC57" s="6"/>
      <c r="AD57" s="95"/>
      <c r="AE57" s="99"/>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row>
    <row r="58" spans="1:252" s="96" customFormat="1" ht="15">
      <c r="A58" s="6"/>
      <c r="B58" s="62"/>
      <c r="C58" s="62"/>
      <c r="D58" s="62"/>
      <c r="E58" s="62"/>
      <c r="F58" s="62"/>
      <c r="G58" s="62"/>
      <c r="H58" s="32"/>
      <c r="I58" s="103"/>
      <c r="J58" s="68"/>
      <c r="K58" s="6" t="s">
        <v>76</v>
      </c>
      <c r="L58" s="206"/>
      <c r="M58" s="207"/>
      <c r="N58" s="207"/>
      <c r="O58" s="201"/>
      <c r="P58" s="63"/>
      <c r="Q58" s="163"/>
      <c r="R58" s="163"/>
      <c r="S58" s="84"/>
      <c r="T58" s="84"/>
      <c r="U58" s="84"/>
      <c r="V58" s="6"/>
      <c r="W58" s="6"/>
      <c r="X58" s="6"/>
      <c r="Y58" s="6"/>
      <c r="Z58" s="6"/>
      <c r="AA58" s="68"/>
      <c r="AB58" s="68"/>
      <c r="AC58" s="6"/>
      <c r="AD58" s="95"/>
      <c r="AE58" s="99"/>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row>
    <row r="59" spans="1:252" s="96" customFormat="1" ht="15">
      <c r="A59" s="6"/>
      <c r="B59" s="64"/>
      <c r="C59" s="64"/>
      <c r="D59" s="64"/>
      <c r="E59" s="64"/>
      <c r="F59" s="64"/>
      <c r="G59" s="62"/>
      <c r="H59" s="208"/>
      <c r="I59" s="208"/>
      <c r="J59" s="208"/>
      <c r="K59" s="65"/>
      <c r="L59" s="65"/>
      <c r="M59" s="65"/>
      <c r="N59" s="65"/>
      <c r="O59" s="65"/>
      <c r="P59" s="66"/>
      <c r="Q59" s="156"/>
      <c r="R59" s="156"/>
      <c r="S59" s="6"/>
      <c r="T59" s="6"/>
      <c r="U59" s="6"/>
      <c r="V59" s="6"/>
      <c r="W59" s="6"/>
      <c r="X59" s="6"/>
      <c r="Y59" s="6"/>
      <c r="Z59" s="6"/>
      <c r="AA59" s="68"/>
      <c r="AB59" s="68"/>
      <c r="AC59" s="6"/>
      <c r="AD59" s="95"/>
      <c r="AE59" s="99"/>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row>
    <row r="60" spans="1:252" s="96" customFormat="1" ht="15">
      <c r="A60" s="6"/>
      <c r="B60" s="67" t="s">
        <v>4</v>
      </c>
      <c r="C60" s="280" t="s">
        <v>5</v>
      </c>
      <c r="D60" s="280"/>
      <c r="E60" s="280"/>
      <c r="F60" s="280"/>
      <c r="G60" s="281"/>
      <c r="H60" s="32"/>
      <c r="I60" s="104"/>
      <c r="J60" s="6"/>
      <c r="K60" s="67" t="s">
        <v>4</v>
      </c>
      <c r="L60" s="281" t="s">
        <v>66</v>
      </c>
      <c r="M60" s="281"/>
      <c r="N60" s="281"/>
      <c r="O60" s="281"/>
      <c r="P60" s="281"/>
      <c r="Q60" s="24"/>
      <c r="R60" s="6"/>
      <c r="S60" s="6"/>
      <c r="T60" s="6"/>
      <c r="U60" s="6"/>
      <c r="V60" s="6"/>
      <c r="W60" s="6"/>
      <c r="X60" s="6"/>
      <c r="Y60" s="6"/>
      <c r="Z60" s="6"/>
      <c r="AA60" s="68"/>
      <c r="AB60" s="68"/>
      <c r="AC60" s="6"/>
      <c r="AD60" s="95"/>
      <c r="AE60" s="99"/>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row>
    <row r="61" spans="1:252" s="96" customFormat="1" ht="15">
      <c r="A61" s="6"/>
      <c r="B61" s="67"/>
      <c r="C61" s="205"/>
      <c r="D61" s="205"/>
      <c r="E61" s="205"/>
      <c r="F61" s="205"/>
      <c r="G61" s="205"/>
      <c r="H61" s="32"/>
      <c r="I61" s="104"/>
      <c r="J61" s="6"/>
      <c r="K61" s="67"/>
      <c r="L61" s="205"/>
      <c r="M61" s="205"/>
      <c r="N61" s="205"/>
      <c r="O61" s="205"/>
      <c r="P61" s="205"/>
      <c r="Q61" s="24"/>
      <c r="R61" s="6"/>
      <c r="S61" s="6"/>
      <c r="T61" s="6"/>
      <c r="U61" s="6"/>
      <c r="V61" s="6"/>
      <c r="W61" s="6"/>
      <c r="X61" s="6"/>
      <c r="Y61" s="6"/>
      <c r="Z61" s="6"/>
      <c r="AA61" s="68"/>
      <c r="AB61" s="68"/>
      <c r="AC61" s="6"/>
      <c r="AD61" s="95"/>
      <c r="AE61" s="99"/>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row>
    <row r="62" spans="1:252" s="96" customFormat="1" ht="15">
      <c r="A62" s="6"/>
      <c r="B62" s="57"/>
      <c r="C62" s="57"/>
      <c r="D62" s="57"/>
      <c r="E62" s="57"/>
      <c r="F62" s="57"/>
      <c r="G62" s="57"/>
      <c r="H62" s="105" t="s">
        <v>46</v>
      </c>
      <c r="I62" s="32"/>
      <c r="J62" s="106">
        <v>42114</v>
      </c>
      <c r="K62" s="57"/>
      <c r="L62" s="57"/>
      <c r="M62" s="57"/>
      <c r="N62" s="57"/>
      <c r="O62" s="57"/>
      <c r="P62" s="24"/>
      <c r="Q62" s="24"/>
      <c r="R62" s="6"/>
      <c r="S62" s="6"/>
      <c r="T62" s="6"/>
      <c r="U62" s="6"/>
      <c r="V62" s="68"/>
      <c r="W62" s="6"/>
      <c r="X62" s="6"/>
      <c r="Y62" s="6"/>
      <c r="Z62" s="6"/>
      <c r="AA62" s="68"/>
      <c r="AB62" s="68"/>
      <c r="AC62" s="6"/>
      <c r="AD62" s="95"/>
      <c r="AE62" s="99"/>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row>
    <row r="63" spans="1:252" s="96" customFormat="1" ht="15" hidden="1">
      <c r="A63" s="6"/>
      <c r="B63" s="57"/>
      <c r="C63" s="57"/>
      <c r="D63" s="57"/>
      <c r="E63" s="57"/>
      <c r="F63" s="57"/>
      <c r="G63" s="57"/>
      <c r="H63" s="57"/>
      <c r="I63" s="57"/>
      <c r="J63" s="57"/>
      <c r="K63" s="57"/>
      <c r="L63" s="57"/>
      <c r="M63" s="57"/>
      <c r="N63" s="57"/>
      <c r="O63" s="57"/>
      <c r="P63" s="24"/>
      <c r="Q63" s="24"/>
      <c r="R63" s="6"/>
      <c r="S63" s="6"/>
      <c r="T63" s="6"/>
      <c r="U63" s="6"/>
      <c r="V63" s="6"/>
      <c r="W63" s="6"/>
      <c r="X63" s="6"/>
      <c r="Y63" s="6"/>
      <c r="Z63" s="6"/>
      <c r="AA63" s="68"/>
      <c r="AB63" s="68"/>
      <c r="AC63" s="6"/>
      <c r="AD63" s="95"/>
      <c r="AE63" s="99"/>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row>
    <row r="64" spans="1:252" s="96" customFormat="1" ht="15" hidden="1">
      <c r="A64" s="6"/>
      <c r="B64" s="57"/>
      <c r="C64" s="57"/>
      <c r="D64" s="57"/>
      <c r="E64" s="57"/>
      <c r="F64" s="57"/>
      <c r="G64" s="57"/>
      <c r="H64" s="57"/>
      <c r="I64" s="57"/>
      <c r="J64" s="57"/>
      <c r="K64" s="57"/>
      <c r="L64" s="57"/>
      <c r="M64" s="57"/>
      <c r="N64" s="57"/>
      <c r="O64" s="57"/>
      <c r="P64" s="24"/>
      <c r="Q64" s="24"/>
      <c r="R64" s="6"/>
      <c r="S64" s="6"/>
      <c r="T64" s="6"/>
      <c r="U64" s="6"/>
      <c r="V64" s="6"/>
      <c r="W64" s="6"/>
      <c r="X64" s="6"/>
      <c r="Y64" s="6"/>
      <c r="Z64" s="6"/>
      <c r="AA64" s="68"/>
      <c r="AB64" s="68"/>
      <c r="AC64" s="6"/>
      <c r="AD64" s="95"/>
      <c r="AE64" s="99"/>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row>
    <row r="65" spans="1:252" s="96" customFormat="1" ht="15" hidden="1">
      <c r="A65" s="6"/>
      <c r="B65" s="57"/>
      <c r="C65" s="57"/>
      <c r="D65" s="57"/>
      <c r="E65" s="57"/>
      <c r="F65" s="57"/>
      <c r="G65" s="57"/>
      <c r="H65" s="57"/>
      <c r="I65" s="57"/>
      <c r="J65" s="57"/>
      <c r="K65" s="57"/>
      <c r="L65" s="57"/>
      <c r="M65" s="57"/>
      <c r="N65" s="57"/>
      <c r="O65" s="57"/>
      <c r="P65" s="24"/>
      <c r="Q65" s="24"/>
      <c r="R65" s="6"/>
      <c r="S65" s="6"/>
      <c r="T65" s="6"/>
      <c r="U65" s="6"/>
      <c r="V65" s="6"/>
      <c r="W65" s="6"/>
      <c r="X65" s="6"/>
      <c r="Y65" s="6"/>
      <c r="Z65" s="6"/>
      <c r="AA65" s="68"/>
      <c r="AB65" s="68"/>
      <c r="AC65" s="6"/>
      <c r="AD65" s="95"/>
      <c r="AE65" s="99"/>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row>
    <row r="66" spans="1:252" s="96" customFormat="1" ht="15" hidden="1">
      <c r="A66" s="6"/>
      <c r="B66" s="57"/>
      <c r="C66" s="57"/>
      <c r="D66" s="57"/>
      <c r="E66" s="57"/>
      <c r="F66" s="57"/>
      <c r="G66" s="57"/>
      <c r="H66" s="57"/>
      <c r="I66" s="57"/>
      <c r="J66" s="57"/>
      <c r="K66" s="57"/>
      <c r="L66" s="57"/>
      <c r="M66" s="57"/>
      <c r="N66" s="57"/>
      <c r="O66" s="57"/>
      <c r="P66" s="24"/>
      <c r="Q66" s="24"/>
      <c r="R66" s="6"/>
      <c r="S66" s="6"/>
      <c r="T66" s="6"/>
      <c r="U66" s="6"/>
      <c r="V66" s="6"/>
      <c r="W66" s="6"/>
      <c r="X66" s="6"/>
      <c r="Y66" s="6"/>
      <c r="Z66" s="6"/>
      <c r="AA66" s="68"/>
      <c r="AB66" s="68"/>
      <c r="AC66" s="6"/>
      <c r="AD66" s="95"/>
      <c r="AE66" s="99"/>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row>
    <row r="67" spans="1:252" s="96" customFormat="1" ht="15" hidden="1">
      <c r="A67" s="6"/>
      <c r="B67" s="57"/>
      <c r="C67" s="57"/>
      <c r="D67" s="57"/>
      <c r="E67" s="57"/>
      <c r="F67" s="57"/>
      <c r="G67" s="57"/>
      <c r="H67" s="57"/>
      <c r="I67" s="57"/>
      <c r="J67" s="57"/>
      <c r="K67" s="57"/>
      <c r="L67" s="57"/>
      <c r="M67" s="57"/>
      <c r="N67" s="57"/>
      <c r="O67" s="57"/>
      <c r="P67" s="24"/>
      <c r="Q67" s="24"/>
      <c r="R67" s="6"/>
      <c r="S67" s="6"/>
      <c r="T67" s="6"/>
      <c r="U67" s="6"/>
      <c r="V67" s="6"/>
      <c r="W67" s="6"/>
      <c r="X67" s="6"/>
      <c r="Y67" s="6"/>
      <c r="Z67" s="6"/>
      <c r="AA67" s="68"/>
      <c r="AB67" s="68"/>
      <c r="AC67" s="6"/>
      <c r="AD67" s="95"/>
      <c r="AE67" s="99"/>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row>
    <row r="68" spans="1:252" s="96" customFormat="1" ht="15" hidden="1">
      <c r="A68" s="6"/>
      <c r="B68" s="57"/>
      <c r="C68" s="57"/>
      <c r="D68" s="57"/>
      <c r="E68" s="57"/>
      <c r="F68" s="57"/>
      <c r="G68" s="57"/>
      <c r="H68" s="57"/>
      <c r="I68" s="57"/>
      <c r="J68" s="57"/>
      <c r="K68" s="57"/>
      <c r="L68" s="57"/>
      <c r="M68" s="57"/>
      <c r="N68" s="57"/>
      <c r="O68" s="57"/>
      <c r="P68" s="24"/>
      <c r="Q68" s="24"/>
      <c r="R68" s="6"/>
      <c r="S68" s="6"/>
      <c r="T68" s="6"/>
      <c r="U68" s="6"/>
      <c r="V68" s="6"/>
      <c r="W68" s="6"/>
      <c r="X68" s="6"/>
      <c r="Y68" s="6"/>
      <c r="Z68" s="6"/>
      <c r="AA68" s="68"/>
      <c r="AB68" s="68"/>
      <c r="AC68" s="6"/>
      <c r="AD68" s="95"/>
      <c r="AE68" s="99"/>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row>
    <row r="69" spans="1:252" s="96" customFormat="1" ht="15" hidden="1">
      <c r="A69" s="6"/>
      <c r="B69" s="57"/>
      <c r="C69" s="57"/>
      <c r="D69" s="57"/>
      <c r="E69" s="57"/>
      <c r="F69" s="57"/>
      <c r="G69" s="57"/>
      <c r="H69" s="57"/>
      <c r="I69" s="57"/>
      <c r="J69" s="57"/>
      <c r="K69" s="57"/>
      <c r="L69" s="57"/>
      <c r="M69" s="57"/>
      <c r="N69" s="57"/>
      <c r="O69" s="57"/>
      <c r="P69" s="24"/>
      <c r="Q69" s="24"/>
      <c r="R69" s="6"/>
      <c r="S69" s="6"/>
      <c r="T69" s="6"/>
      <c r="U69" s="6"/>
      <c r="V69" s="6"/>
      <c r="W69" s="6"/>
      <c r="X69" s="6"/>
      <c r="Y69" s="6"/>
      <c r="Z69" s="6"/>
      <c r="AA69" s="68"/>
      <c r="AB69" s="68"/>
      <c r="AC69" s="6"/>
      <c r="AD69" s="95"/>
      <c r="AE69" s="99"/>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row>
    <row r="70" spans="1:252" s="96" customFormat="1" ht="15" hidden="1">
      <c r="A70" s="6"/>
      <c r="B70" s="57"/>
      <c r="C70" s="57"/>
      <c r="D70" s="57"/>
      <c r="E70" s="57"/>
      <c r="F70" s="57"/>
      <c r="G70" s="57"/>
      <c r="H70" s="57"/>
      <c r="I70" s="57"/>
      <c r="J70" s="57"/>
      <c r="K70" s="57"/>
      <c r="L70" s="57"/>
      <c r="M70" s="57"/>
      <c r="N70" s="57"/>
      <c r="O70" s="57"/>
      <c r="P70" s="24"/>
      <c r="Q70" s="24"/>
      <c r="R70" s="6"/>
      <c r="S70" s="6"/>
      <c r="T70" s="6"/>
      <c r="U70" s="6"/>
      <c r="V70" s="6"/>
      <c r="W70" s="6"/>
      <c r="X70" s="6"/>
      <c r="Y70" s="6"/>
      <c r="Z70" s="6"/>
      <c r="AA70" s="68"/>
      <c r="AB70" s="68"/>
      <c r="AC70" s="6"/>
      <c r="AD70" s="95"/>
      <c r="AE70" s="99"/>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row>
    <row r="71" spans="1:252" s="96" customFormat="1" ht="15" hidden="1">
      <c r="A71" s="6"/>
      <c r="B71" s="57"/>
      <c r="C71" s="57"/>
      <c r="D71" s="57"/>
      <c r="E71" s="57"/>
      <c r="F71" s="57"/>
      <c r="G71" s="57"/>
      <c r="H71" s="57"/>
      <c r="I71" s="57"/>
      <c r="J71" s="57"/>
      <c r="K71" s="57"/>
      <c r="L71" s="57"/>
      <c r="M71" s="57"/>
      <c r="N71" s="57"/>
      <c r="O71" s="57"/>
      <c r="P71" s="24"/>
      <c r="Q71" s="24"/>
      <c r="R71" s="6"/>
      <c r="S71" s="6"/>
      <c r="T71" s="6"/>
      <c r="U71" s="6"/>
      <c r="V71" s="6"/>
      <c r="W71" s="6"/>
      <c r="X71" s="6"/>
      <c r="Y71" s="6"/>
      <c r="Z71" s="6"/>
      <c r="AA71" s="68"/>
      <c r="AB71" s="68"/>
      <c r="AC71" s="6"/>
      <c r="AD71" s="95"/>
      <c r="AE71" s="99"/>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row>
    <row r="72" spans="1:252" s="96" customFormat="1" ht="15" hidden="1">
      <c r="A72" s="6"/>
      <c r="B72" s="57"/>
      <c r="C72" s="57"/>
      <c r="D72" s="57"/>
      <c r="E72" s="57"/>
      <c r="F72" s="57"/>
      <c r="G72" s="57"/>
      <c r="H72" s="57"/>
      <c r="I72" s="57"/>
      <c r="J72" s="57"/>
      <c r="K72" s="57"/>
      <c r="L72" s="57"/>
      <c r="M72" s="57"/>
      <c r="N72" s="57"/>
      <c r="O72" s="57"/>
      <c r="P72" s="24"/>
      <c r="Q72" s="24"/>
      <c r="R72" s="6"/>
      <c r="S72" s="6"/>
      <c r="T72" s="6"/>
      <c r="U72" s="6"/>
      <c r="V72" s="6"/>
      <c r="W72" s="6"/>
      <c r="X72" s="6"/>
      <c r="Y72" s="6"/>
      <c r="Z72" s="6"/>
      <c r="AA72" s="68"/>
      <c r="AB72" s="68"/>
      <c r="AC72" s="6"/>
      <c r="AD72" s="95"/>
      <c r="AE72" s="99"/>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row>
    <row r="73" spans="1:252" s="96" customFormat="1" ht="15" hidden="1">
      <c r="A73" s="6"/>
      <c r="B73" s="57"/>
      <c r="C73" s="57"/>
      <c r="D73" s="57"/>
      <c r="E73" s="57"/>
      <c r="F73" s="57"/>
      <c r="G73" s="57"/>
      <c r="H73" s="57"/>
      <c r="I73" s="57"/>
      <c r="J73" s="57"/>
      <c r="K73" s="57"/>
      <c r="L73" s="57"/>
      <c r="M73" s="57"/>
      <c r="N73" s="57"/>
      <c r="O73" s="57"/>
      <c r="P73" s="24"/>
      <c r="Q73" s="24"/>
      <c r="R73" s="6"/>
      <c r="S73" s="6"/>
      <c r="T73" s="6"/>
      <c r="U73" s="6"/>
      <c r="V73" s="6"/>
      <c r="W73" s="6"/>
      <c r="X73" s="6"/>
      <c r="Y73" s="6"/>
      <c r="Z73" s="6"/>
      <c r="AA73" s="68"/>
      <c r="AB73" s="68"/>
      <c r="AC73" s="6"/>
      <c r="AD73" s="95"/>
      <c r="AE73" s="99"/>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c r="HR73" s="3"/>
      <c r="HS73" s="3"/>
      <c r="HT73" s="3"/>
      <c r="HU73" s="3"/>
      <c r="HV73" s="3"/>
      <c r="HW73" s="3"/>
      <c r="HX73" s="3"/>
      <c r="HY73" s="3"/>
      <c r="HZ73" s="3"/>
      <c r="IA73" s="3"/>
      <c r="IB73" s="3"/>
      <c r="IC73" s="3"/>
      <c r="ID73" s="3"/>
      <c r="IE73" s="3"/>
      <c r="IF73" s="3"/>
      <c r="IG73" s="3"/>
      <c r="IH73" s="3"/>
      <c r="II73" s="3"/>
      <c r="IJ73" s="3"/>
      <c r="IK73" s="3"/>
      <c r="IL73" s="3"/>
      <c r="IM73" s="3"/>
      <c r="IN73" s="3"/>
      <c r="IO73" s="3"/>
      <c r="IP73" s="3"/>
      <c r="IQ73" s="3"/>
      <c r="IR73" s="3"/>
    </row>
    <row r="74" spans="1:252" s="96" customFormat="1" ht="15" hidden="1">
      <c r="A74" s="6"/>
      <c r="B74" s="57"/>
      <c r="C74" s="57"/>
      <c r="D74" s="57"/>
      <c r="E74" s="57"/>
      <c r="F74" s="57"/>
      <c r="G74" s="57"/>
      <c r="H74" s="57"/>
      <c r="I74" s="57"/>
      <c r="J74" s="57"/>
      <c r="K74" s="57"/>
      <c r="L74" s="57"/>
      <c r="M74" s="57"/>
      <c r="N74" s="57"/>
      <c r="O74" s="57"/>
      <c r="P74" s="24"/>
      <c r="Q74" s="24"/>
      <c r="R74" s="6"/>
      <c r="S74" s="6"/>
      <c r="T74" s="6"/>
      <c r="U74" s="6"/>
      <c r="V74" s="6"/>
      <c r="W74" s="6"/>
      <c r="X74" s="6"/>
      <c r="Y74" s="6"/>
      <c r="Z74" s="6"/>
      <c r="AA74" s="68"/>
      <c r="AB74" s="68"/>
      <c r="AC74" s="6"/>
      <c r="AD74" s="95"/>
      <c r="AE74" s="99"/>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row>
    <row r="75" spans="1:252" s="96" customFormat="1" ht="15" hidden="1">
      <c r="A75" s="6"/>
      <c r="B75" s="57"/>
      <c r="C75" s="57"/>
      <c r="D75" s="57"/>
      <c r="E75" s="57"/>
      <c r="F75" s="57"/>
      <c r="G75" s="57"/>
      <c r="H75" s="57"/>
      <c r="I75" s="57"/>
      <c r="J75" s="57"/>
      <c r="K75" s="57"/>
      <c r="L75" s="57"/>
      <c r="M75" s="57"/>
      <c r="N75" s="57"/>
      <c r="O75" s="57"/>
      <c r="P75" s="24"/>
      <c r="Q75" s="24"/>
      <c r="R75" s="6"/>
      <c r="S75" s="6"/>
      <c r="T75" s="6"/>
      <c r="U75" s="6"/>
      <c r="V75" s="6"/>
      <c r="W75" s="6"/>
      <c r="X75" s="6"/>
      <c r="Y75" s="6"/>
      <c r="Z75" s="6"/>
      <c r="AA75" s="68"/>
      <c r="AB75" s="68"/>
      <c r="AC75" s="6"/>
      <c r="AD75" s="95"/>
      <c r="AE75" s="99"/>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row>
    <row r="76" spans="1:252" s="96" customFormat="1" ht="15" hidden="1">
      <c r="A76" s="6"/>
      <c r="B76" s="57"/>
      <c r="C76" s="57"/>
      <c r="D76" s="57"/>
      <c r="E76" s="57"/>
      <c r="F76" s="57"/>
      <c r="G76" s="57"/>
      <c r="H76" s="57"/>
      <c r="I76" s="57"/>
      <c r="J76" s="57"/>
      <c r="K76" s="57"/>
      <c r="L76" s="57"/>
      <c r="M76" s="57"/>
      <c r="N76" s="57"/>
      <c r="O76" s="57"/>
      <c r="P76" s="24"/>
      <c r="Q76" s="24"/>
      <c r="R76" s="6"/>
      <c r="S76" s="6"/>
      <c r="T76" s="6"/>
      <c r="U76" s="6"/>
      <c r="V76" s="6"/>
      <c r="W76" s="6"/>
      <c r="X76" s="6"/>
      <c r="Y76" s="6"/>
      <c r="Z76" s="6"/>
      <c r="AA76" s="68"/>
      <c r="AB76" s="68"/>
      <c r="AC76" s="6"/>
      <c r="AD76" s="95"/>
      <c r="AE76" s="99"/>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row>
    <row r="77" spans="1:252" s="96" customFormat="1" ht="15" hidden="1">
      <c r="A77" s="6"/>
      <c r="B77" s="57"/>
      <c r="C77" s="57"/>
      <c r="D77" s="57"/>
      <c r="E77" s="57"/>
      <c r="F77" s="57"/>
      <c r="G77" s="57"/>
      <c r="H77" s="57"/>
      <c r="I77" s="57"/>
      <c r="J77" s="57"/>
      <c r="K77" s="57"/>
      <c r="L77" s="57"/>
      <c r="M77" s="57"/>
      <c r="N77" s="57"/>
      <c r="O77" s="57"/>
      <c r="P77" s="24"/>
      <c r="Q77" s="24"/>
      <c r="R77" s="6"/>
      <c r="S77" s="6"/>
      <c r="T77" s="6"/>
      <c r="U77" s="6"/>
      <c r="V77" s="6"/>
      <c r="W77" s="6"/>
      <c r="X77" s="6"/>
      <c r="Y77" s="6"/>
      <c r="Z77" s="6"/>
      <c r="AA77" s="68"/>
      <c r="AB77" s="68"/>
      <c r="AC77" s="6"/>
      <c r="AD77" s="95"/>
      <c r="AE77" s="99"/>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c r="HF77" s="3"/>
      <c r="HG77" s="3"/>
      <c r="HH77" s="3"/>
      <c r="HI77" s="3"/>
      <c r="HJ77" s="3"/>
      <c r="HK77" s="3"/>
      <c r="HL77" s="3"/>
      <c r="HM77" s="3"/>
      <c r="HN77" s="3"/>
      <c r="HO77" s="3"/>
      <c r="HP77" s="3"/>
      <c r="HQ77" s="3"/>
      <c r="HR77" s="3"/>
      <c r="HS77" s="3"/>
      <c r="HT77" s="3"/>
      <c r="HU77" s="3"/>
      <c r="HV77" s="3"/>
      <c r="HW77" s="3"/>
      <c r="HX77" s="3"/>
      <c r="HY77" s="3"/>
      <c r="HZ77" s="3"/>
      <c r="IA77" s="3"/>
      <c r="IB77" s="3"/>
      <c r="IC77" s="3"/>
      <c r="ID77" s="3"/>
      <c r="IE77" s="3"/>
      <c r="IF77" s="3"/>
      <c r="IG77" s="3"/>
      <c r="IH77" s="3"/>
      <c r="II77" s="3"/>
      <c r="IJ77" s="3"/>
      <c r="IK77" s="3"/>
      <c r="IL77" s="3"/>
      <c r="IM77" s="3"/>
      <c r="IN77" s="3"/>
      <c r="IO77" s="3"/>
      <c r="IP77" s="3"/>
      <c r="IQ77" s="3"/>
      <c r="IR77" s="3"/>
    </row>
    <row r="78" spans="1:252" s="96" customFormat="1" ht="15" hidden="1">
      <c r="A78" s="6"/>
      <c r="B78" s="57"/>
      <c r="C78" s="57"/>
      <c r="D78" s="57"/>
      <c r="E78" s="57"/>
      <c r="F78" s="57"/>
      <c r="G78" s="57"/>
      <c r="H78" s="57"/>
      <c r="I78" s="57"/>
      <c r="J78" s="57"/>
      <c r="K78" s="57"/>
      <c r="L78" s="57"/>
      <c r="M78" s="57"/>
      <c r="N78" s="57"/>
      <c r="O78" s="57"/>
      <c r="P78" s="24"/>
      <c r="Q78" s="24"/>
      <c r="R78" s="6"/>
      <c r="S78" s="6"/>
      <c r="T78" s="6"/>
      <c r="U78" s="6"/>
      <c r="V78" s="6"/>
      <c r="W78" s="6"/>
      <c r="X78" s="6"/>
      <c r="Y78" s="6"/>
      <c r="Z78" s="6"/>
      <c r="AA78" s="68"/>
      <c r="AB78" s="68"/>
      <c r="AC78" s="6"/>
      <c r="AD78" s="95"/>
      <c r="AE78" s="99"/>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c r="HF78" s="3"/>
      <c r="HG78" s="3"/>
      <c r="HH78" s="3"/>
      <c r="HI78" s="3"/>
      <c r="HJ78" s="3"/>
      <c r="HK78" s="3"/>
      <c r="HL78" s="3"/>
      <c r="HM78" s="3"/>
      <c r="HN78" s="3"/>
      <c r="HO78" s="3"/>
      <c r="HP78" s="3"/>
      <c r="HQ78" s="3"/>
      <c r="HR78" s="3"/>
      <c r="HS78" s="3"/>
      <c r="HT78" s="3"/>
      <c r="HU78" s="3"/>
      <c r="HV78" s="3"/>
      <c r="HW78" s="3"/>
      <c r="HX78" s="3"/>
      <c r="HY78" s="3"/>
      <c r="HZ78" s="3"/>
      <c r="IA78" s="3"/>
      <c r="IB78" s="3"/>
      <c r="IC78" s="3"/>
      <c r="ID78" s="3"/>
      <c r="IE78" s="3"/>
      <c r="IF78" s="3"/>
      <c r="IG78" s="3"/>
      <c r="IH78" s="3"/>
      <c r="II78" s="3"/>
      <c r="IJ78" s="3"/>
      <c r="IK78" s="3"/>
      <c r="IL78" s="3"/>
      <c r="IM78" s="3"/>
      <c r="IN78" s="3"/>
      <c r="IO78" s="3"/>
      <c r="IP78" s="3"/>
      <c r="IQ78" s="3"/>
      <c r="IR78" s="3"/>
    </row>
    <row r="79" spans="1:252" s="96" customFormat="1" ht="15" hidden="1">
      <c r="A79" s="6"/>
      <c r="B79" s="57"/>
      <c r="C79" s="57"/>
      <c r="D79" s="57"/>
      <c r="E79" s="57"/>
      <c r="F79" s="57"/>
      <c r="G79" s="57"/>
      <c r="H79" s="57"/>
      <c r="I79" s="57"/>
      <c r="J79" s="57"/>
      <c r="K79" s="57"/>
      <c r="L79" s="57"/>
      <c r="M79" s="57"/>
      <c r="N79" s="57"/>
      <c r="O79" s="57"/>
      <c r="P79" s="24"/>
      <c r="Q79" s="24"/>
      <c r="R79" s="6"/>
      <c r="S79" s="6"/>
      <c r="T79" s="6"/>
      <c r="U79" s="6"/>
      <c r="V79" s="6"/>
      <c r="W79" s="6"/>
      <c r="X79" s="6"/>
      <c r="Y79" s="6"/>
      <c r="Z79" s="6"/>
      <c r="AA79" s="68"/>
      <c r="AB79" s="68"/>
      <c r="AC79" s="6"/>
      <c r="AD79" s="95"/>
      <c r="AE79" s="99"/>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c r="HF79" s="3"/>
      <c r="HG79" s="3"/>
      <c r="HH79" s="3"/>
      <c r="HI79" s="3"/>
      <c r="HJ79" s="3"/>
      <c r="HK79" s="3"/>
      <c r="HL79" s="3"/>
      <c r="HM79" s="3"/>
      <c r="HN79" s="3"/>
      <c r="HO79" s="3"/>
      <c r="HP79" s="3"/>
      <c r="HQ79" s="3"/>
      <c r="HR79" s="3"/>
      <c r="HS79" s="3"/>
      <c r="HT79" s="3"/>
      <c r="HU79" s="3"/>
      <c r="HV79" s="3"/>
      <c r="HW79" s="3"/>
      <c r="HX79" s="3"/>
      <c r="HY79" s="3"/>
      <c r="HZ79" s="3"/>
      <c r="IA79" s="3"/>
      <c r="IB79" s="3"/>
      <c r="IC79" s="3"/>
      <c r="ID79" s="3"/>
      <c r="IE79" s="3"/>
      <c r="IF79" s="3"/>
      <c r="IG79" s="3"/>
      <c r="IH79" s="3"/>
      <c r="II79" s="3"/>
      <c r="IJ79" s="3"/>
      <c r="IK79" s="3"/>
      <c r="IL79" s="3"/>
      <c r="IM79" s="3"/>
      <c r="IN79" s="3"/>
      <c r="IO79" s="3"/>
      <c r="IP79" s="3"/>
      <c r="IQ79" s="3"/>
      <c r="IR79" s="3"/>
    </row>
    <row r="80" spans="1:252" s="96" customFormat="1" ht="15" hidden="1">
      <c r="A80" s="6"/>
      <c r="B80" s="57"/>
      <c r="C80" s="57"/>
      <c r="D80" s="57"/>
      <c r="E80" s="57"/>
      <c r="F80" s="57"/>
      <c r="G80" s="57"/>
      <c r="H80" s="57"/>
      <c r="I80" s="57"/>
      <c r="J80" s="57"/>
      <c r="K80" s="57"/>
      <c r="L80" s="57"/>
      <c r="M80" s="57"/>
      <c r="N80" s="57"/>
      <c r="O80" s="57"/>
      <c r="P80" s="24"/>
      <c r="Q80" s="24"/>
      <c r="R80" s="6"/>
      <c r="S80" s="6"/>
      <c r="T80" s="6"/>
      <c r="U80" s="6"/>
      <c r="V80" s="6"/>
      <c r="W80" s="6"/>
      <c r="X80" s="6"/>
      <c r="Y80" s="6"/>
      <c r="Z80" s="6"/>
      <c r="AA80" s="68"/>
      <c r="AB80" s="68"/>
      <c r="AC80" s="6"/>
      <c r="AD80" s="95"/>
      <c r="AE80" s="99"/>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c r="HF80" s="3"/>
      <c r="HG80" s="3"/>
      <c r="HH80" s="3"/>
      <c r="HI80" s="3"/>
      <c r="HJ80" s="3"/>
      <c r="HK80" s="3"/>
      <c r="HL80" s="3"/>
      <c r="HM80" s="3"/>
      <c r="HN80" s="3"/>
      <c r="HO80" s="3"/>
      <c r="HP80" s="3"/>
      <c r="HQ80" s="3"/>
      <c r="HR80" s="3"/>
      <c r="HS80" s="3"/>
      <c r="HT80" s="3"/>
      <c r="HU80" s="3"/>
      <c r="HV80" s="3"/>
      <c r="HW80" s="3"/>
      <c r="HX80" s="3"/>
      <c r="HY80" s="3"/>
      <c r="HZ80" s="3"/>
      <c r="IA80" s="3"/>
      <c r="IB80" s="3"/>
      <c r="IC80" s="3"/>
      <c r="ID80" s="3"/>
      <c r="IE80" s="3"/>
      <c r="IF80" s="3"/>
      <c r="IG80" s="3"/>
      <c r="IH80" s="3"/>
      <c r="II80" s="3"/>
      <c r="IJ80" s="3"/>
      <c r="IK80" s="3"/>
      <c r="IL80" s="3"/>
      <c r="IM80" s="3"/>
      <c r="IN80" s="3"/>
      <c r="IO80" s="3"/>
      <c r="IP80" s="3"/>
      <c r="IQ80" s="3"/>
      <c r="IR80" s="3"/>
    </row>
  </sheetData>
  <sheetProtection password="EE1F" sheet="1" objects="1" scenarios="1" selectLockedCells="1"/>
  <protectedRanges>
    <protectedRange sqref="M7 F12 I13:M13 F16 E17 I17:M17 F22:H52 L23:P52 C22:C52" name="Eingabebereich"/>
  </protectedRanges>
  <mergeCells count="47">
    <mergeCell ref="L21:P21"/>
    <mergeCell ref="B2:H2"/>
    <mergeCell ref="I2:J2"/>
    <mergeCell ref="K2:L2"/>
    <mergeCell ref="E5:H5"/>
    <mergeCell ref="M5:O5"/>
    <mergeCell ref="E7:H7"/>
    <mergeCell ref="M7:O7"/>
    <mergeCell ref="E17:F17"/>
    <mergeCell ref="C20:E20"/>
    <mergeCell ref="F20:H20"/>
    <mergeCell ref="I20:K20"/>
    <mergeCell ref="L20:P20"/>
    <mergeCell ref="L33:P33"/>
    <mergeCell ref="L22:P22"/>
    <mergeCell ref="L23:P23"/>
    <mergeCell ref="L24:P24"/>
    <mergeCell ref="L25:P25"/>
    <mergeCell ref="L26:P26"/>
    <mergeCell ref="L27:P27"/>
    <mergeCell ref="L28:P28"/>
    <mergeCell ref="L29:P29"/>
    <mergeCell ref="L30:P30"/>
    <mergeCell ref="L31:P31"/>
    <mergeCell ref="L32:P32"/>
    <mergeCell ref="L45:P45"/>
    <mergeCell ref="L34:P34"/>
    <mergeCell ref="L35:P35"/>
    <mergeCell ref="L36:P36"/>
    <mergeCell ref="L37:P37"/>
    <mergeCell ref="L38:P38"/>
    <mergeCell ref="L39:P39"/>
    <mergeCell ref="L40:P40"/>
    <mergeCell ref="L41:P41"/>
    <mergeCell ref="L42:P42"/>
    <mergeCell ref="L43:P43"/>
    <mergeCell ref="L44:P44"/>
    <mergeCell ref="L52:P52"/>
    <mergeCell ref="K55:O55"/>
    <mergeCell ref="C60:G60"/>
    <mergeCell ref="L60:P60"/>
    <mergeCell ref="L46:P46"/>
    <mergeCell ref="L47:P47"/>
    <mergeCell ref="L48:P48"/>
    <mergeCell ref="L49:P49"/>
    <mergeCell ref="L50:P50"/>
    <mergeCell ref="L51:P51"/>
  </mergeCells>
  <conditionalFormatting sqref="C22:I52 L23:L39 L44:L52">
    <cfRule type="expression" dxfId="1740" priority="243" stopIfTrue="1">
      <formula>OR(($A22="Samstag"),($A22="Sonntag"),($AA22=TRUE()))</formula>
    </cfRule>
  </conditionalFormatting>
  <conditionalFormatting sqref="B22:B52">
    <cfRule type="expression" dxfId="1739" priority="119" stopIfTrue="1">
      <formula>$AA22=TRUE()</formula>
    </cfRule>
    <cfRule type="expression" dxfId="1738" priority="123" stopIfTrue="1">
      <formula>OR(($A22="Samstag"),($A22="Sonntag"))</formula>
    </cfRule>
    <cfRule type="expression" dxfId="1737" priority="124" stopIfTrue="1">
      <formula>AND($E$17&lt;&gt;"",$B22&gt;=$E$17)</formula>
    </cfRule>
  </conditionalFormatting>
  <conditionalFormatting sqref="F32:H32 L23:L39">
    <cfRule type="expression" dxfId="1736" priority="242" stopIfTrue="1">
      <formula>OR(($A23="Samstag"),($A23="Sonntag"))</formula>
    </cfRule>
  </conditionalFormatting>
  <conditionalFormatting sqref="F32:H32">
    <cfRule type="expression" dxfId="1735" priority="241" stopIfTrue="1">
      <formula>OR(($A32="Samstag"),($A32="Sonntag"))</formula>
    </cfRule>
  </conditionalFormatting>
  <conditionalFormatting sqref="F52:H52">
    <cfRule type="expression" dxfId="1734" priority="230" stopIfTrue="1">
      <formula>OR(($A52="Samstag"),($A52="Sonntag"))</formula>
    </cfRule>
  </conditionalFormatting>
  <conditionalFormatting sqref="F52:H52">
    <cfRule type="expression" dxfId="1733" priority="229" stopIfTrue="1">
      <formula>OR(($A52="Samstag"),($A52="Sonntag"))</formula>
    </cfRule>
  </conditionalFormatting>
  <conditionalFormatting sqref="F46:H46">
    <cfRule type="expression" dxfId="1732" priority="233" stopIfTrue="1">
      <formula>OR(($A46="Samstag"),($A46="Sonntag"))</formula>
    </cfRule>
  </conditionalFormatting>
  <conditionalFormatting sqref="F32:H32">
    <cfRule type="expression" dxfId="1731" priority="237" stopIfTrue="1">
      <formula>OR(($A32="Samstag"),($A32="Sonntag"))</formula>
    </cfRule>
  </conditionalFormatting>
  <conditionalFormatting sqref="F24:H25">
    <cfRule type="expression" dxfId="1730" priority="240" stopIfTrue="1">
      <formula>OR(($A24="Samstag"),($A24="Sonntag"))</formula>
    </cfRule>
  </conditionalFormatting>
  <conditionalFormatting sqref="F24:H24">
    <cfRule type="expression" dxfId="1729" priority="239" stopIfTrue="1">
      <formula>OR(($A24="Samstag"),($A24="Sonntag"))</formula>
    </cfRule>
  </conditionalFormatting>
  <conditionalFormatting sqref="F25:H25">
    <cfRule type="expression" dxfId="1728" priority="238" stopIfTrue="1">
      <formula>OR(($A25="Samstag"),($A25="Sonntag"))</formula>
    </cfRule>
  </conditionalFormatting>
  <conditionalFormatting sqref="F39:H39">
    <cfRule type="expression" dxfId="1727" priority="235" stopIfTrue="1">
      <formula>OR(($A39="Samstag"),($A39="Sonntag"))</formula>
    </cfRule>
  </conditionalFormatting>
  <conditionalFormatting sqref="F39:H39">
    <cfRule type="expression" dxfId="1726" priority="236" stopIfTrue="1">
      <formula>OR(($A39="Samstag"),($A39="Sonntag"))</formula>
    </cfRule>
  </conditionalFormatting>
  <conditionalFormatting sqref="F39:H39">
    <cfRule type="expression" dxfId="1725" priority="234" stopIfTrue="1">
      <formula>OR(($A39="Samstag"),($A39="Sonntag"))</formula>
    </cfRule>
  </conditionalFormatting>
  <conditionalFormatting sqref="F46:H46">
    <cfRule type="expression" dxfId="1724" priority="232" stopIfTrue="1">
      <formula>OR(($A46="Samstag"),($A46="Sonntag"))</formula>
    </cfRule>
  </conditionalFormatting>
  <conditionalFormatting sqref="F46:H46">
    <cfRule type="expression" dxfId="1723" priority="231" stopIfTrue="1">
      <formula>OR(($A46="Samstag"),($A46="Sonntag"))</formula>
    </cfRule>
  </conditionalFormatting>
  <conditionalFormatting sqref="F22:H52">
    <cfRule type="expression" dxfId="1722" priority="228" stopIfTrue="1">
      <formula>OR(($A22="Samstag"),($A22="Sonntag"))</formula>
    </cfRule>
  </conditionalFormatting>
  <conditionalFormatting sqref="F22:H52">
    <cfRule type="expression" dxfId="1721" priority="227" stopIfTrue="1">
      <formula>OR(($A22="Samstag"),($A22="Sonntag"))</formula>
    </cfRule>
  </conditionalFormatting>
  <conditionalFormatting sqref="G23">
    <cfRule type="expression" dxfId="1720" priority="226" stopIfTrue="1">
      <formula>OR(($A23="Samstag"),($A23="Sonntag"))</formula>
    </cfRule>
  </conditionalFormatting>
  <conditionalFormatting sqref="G23">
    <cfRule type="expression" dxfId="1719" priority="225" stopIfTrue="1">
      <formula>OR(($A23="Samstag"),($A23="Sonntag"))</formula>
    </cfRule>
  </conditionalFormatting>
  <conditionalFormatting sqref="F31:H31">
    <cfRule type="expression" dxfId="1718" priority="224" stopIfTrue="1">
      <formula>OR(($A31="Samstag"),($A31="Sonntag"))</formula>
    </cfRule>
  </conditionalFormatting>
  <conditionalFormatting sqref="F31:H31">
    <cfRule type="expression" dxfId="1717" priority="223" stopIfTrue="1">
      <formula>OR(($A31="Samstag"),($A31="Sonntag"))</formula>
    </cfRule>
  </conditionalFormatting>
  <conditionalFormatting sqref="F38:H38">
    <cfRule type="expression" dxfId="1716" priority="222" stopIfTrue="1">
      <formula>OR(($A38="Samstag"),($A38="Sonntag"))</formula>
    </cfRule>
  </conditionalFormatting>
  <conditionalFormatting sqref="F38:H38">
    <cfRule type="expression" dxfId="1715" priority="221" stopIfTrue="1">
      <formula>OR(($A38="Samstag"),($A38="Sonntag"))</formula>
    </cfRule>
  </conditionalFormatting>
  <conditionalFormatting sqref="F45:H45">
    <cfRule type="expression" dxfId="1714" priority="220" stopIfTrue="1">
      <formula>OR(($A45="Samstag"),($A45="Sonntag"))</formula>
    </cfRule>
  </conditionalFormatting>
  <conditionalFormatting sqref="F45:H45">
    <cfRule type="expression" dxfId="1713" priority="219" stopIfTrue="1">
      <formula>OR(($A45="Samstag"),($A45="Sonntag"))</formula>
    </cfRule>
  </conditionalFormatting>
  <conditionalFormatting sqref="G26:G30">
    <cfRule type="expression" dxfId="1712" priority="218" stopIfTrue="1">
      <formula>OR(($A26="Samstag"),($A26="Sonntag"))</formula>
    </cfRule>
  </conditionalFormatting>
  <conditionalFormatting sqref="G26:G30">
    <cfRule type="expression" dxfId="1711" priority="217" stopIfTrue="1">
      <formula>OR(($A26="Samstag"),($A26="Sonntag"))</formula>
    </cfRule>
  </conditionalFormatting>
  <conditionalFormatting sqref="G33:G37">
    <cfRule type="expression" dxfId="1710" priority="216" stopIfTrue="1">
      <formula>OR(($A33="Samstag"),($A33="Sonntag"))</formula>
    </cfRule>
  </conditionalFormatting>
  <conditionalFormatting sqref="G33:G37">
    <cfRule type="expression" dxfId="1709" priority="215" stopIfTrue="1">
      <formula>OR(($A33="Samstag"),($A33="Sonntag"))</formula>
    </cfRule>
  </conditionalFormatting>
  <conditionalFormatting sqref="G40:G44">
    <cfRule type="expression" dxfId="1708" priority="214" stopIfTrue="1">
      <formula>OR(($A40="Samstag"),($A40="Sonntag"))</formula>
    </cfRule>
  </conditionalFormatting>
  <conditionalFormatting sqref="G40:G44">
    <cfRule type="expression" dxfId="1707" priority="213" stopIfTrue="1">
      <formula>OR(($A40="Samstag"),($A40="Sonntag"))</formula>
    </cfRule>
  </conditionalFormatting>
  <conditionalFormatting sqref="G47:G51">
    <cfRule type="expression" dxfId="1706" priority="212" stopIfTrue="1">
      <formula>OR(($A47="Samstag"),($A47="Sonntag"))</formula>
    </cfRule>
  </conditionalFormatting>
  <conditionalFormatting sqref="G47:G51">
    <cfRule type="expression" dxfId="1705" priority="211" stopIfTrue="1">
      <formula>OR(($A47="Samstag"),($A47="Sonntag"))</formula>
    </cfRule>
  </conditionalFormatting>
  <conditionalFormatting sqref="F23:H23">
    <cfRule type="expression" dxfId="1704" priority="210" stopIfTrue="1">
      <formula>OR(($A23="Samstag"),($A23="Sonntag"))</formula>
    </cfRule>
  </conditionalFormatting>
  <conditionalFormatting sqref="F23:H23">
    <cfRule type="expression" dxfId="1703" priority="209" stopIfTrue="1">
      <formula>OR(($A23="Samstag"),($A23="Sonntag"))</formula>
    </cfRule>
  </conditionalFormatting>
  <conditionalFormatting sqref="F26:H30">
    <cfRule type="expression" dxfId="1702" priority="208" stopIfTrue="1">
      <formula>OR(($A26="Samstag"),($A26="Sonntag"))</formula>
    </cfRule>
  </conditionalFormatting>
  <conditionalFormatting sqref="F26:H30">
    <cfRule type="expression" dxfId="1701" priority="207" stopIfTrue="1">
      <formula>OR(($A26="Samstag"),($A26="Sonntag"))</formula>
    </cfRule>
  </conditionalFormatting>
  <conditionalFormatting sqref="F33:H37">
    <cfRule type="expression" dxfId="1700" priority="206" stopIfTrue="1">
      <formula>OR(($A33="Samstag"),($A33="Sonntag"))</formula>
    </cfRule>
  </conditionalFormatting>
  <conditionalFormatting sqref="F33:H37">
    <cfRule type="expression" dxfId="1699" priority="205" stopIfTrue="1">
      <formula>OR(($A33="Samstag"),($A33="Sonntag"))</formula>
    </cfRule>
  </conditionalFormatting>
  <conditionalFormatting sqref="F40:H44">
    <cfRule type="expression" dxfId="1698" priority="204" stopIfTrue="1">
      <formula>OR(($A40="Samstag"),($A40="Sonntag"))</formula>
    </cfRule>
  </conditionalFormatting>
  <conditionalFormatting sqref="F40:H44">
    <cfRule type="expression" dxfId="1697" priority="203" stopIfTrue="1">
      <formula>OR(($A40="Samstag"),($A40="Sonntag"))</formula>
    </cfRule>
  </conditionalFormatting>
  <conditionalFormatting sqref="H40:H44">
    <cfRule type="expression" dxfId="1696" priority="194" stopIfTrue="1">
      <formula>OR(($A40="Samstag"),($A40="Sonntag"))</formula>
    </cfRule>
  </conditionalFormatting>
  <conditionalFormatting sqref="H40:H44">
    <cfRule type="expression" dxfId="1695" priority="193" stopIfTrue="1">
      <formula>OR(($A40="Samstag"),($A40="Sonntag"))</formula>
    </cfRule>
  </conditionalFormatting>
  <conditionalFormatting sqref="F47:H51">
    <cfRule type="expression" dxfId="1694" priority="202" stopIfTrue="1">
      <formula>OR(($A47="Samstag"),($A47="Sonntag"))</formula>
    </cfRule>
  </conditionalFormatting>
  <conditionalFormatting sqref="F47:H51">
    <cfRule type="expression" dxfId="1693" priority="201" stopIfTrue="1">
      <formula>OR(($A47="Samstag"),($A47="Sonntag"))</formula>
    </cfRule>
  </conditionalFormatting>
  <conditionalFormatting sqref="H23">
    <cfRule type="expression" dxfId="1692" priority="200" stopIfTrue="1">
      <formula>OR(($A23="Samstag"),($A23="Sonntag"))</formula>
    </cfRule>
  </conditionalFormatting>
  <conditionalFormatting sqref="H23">
    <cfRule type="expression" dxfId="1691" priority="199" stopIfTrue="1">
      <formula>OR(($A23="Samstag"),($A23="Sonntag"))</formula>
    </cfRule>
  </conditionalFormatting>
  <conditionalFormatting sqref="H26:H30">
    <cfRule type="expression" dxfId="1690" priority="198" stopIfTrue="1">
      <formula>OR(($A26="Samstag"),($A26="Sonntag"))</formula>
    </cfRule>
  </conditionalFormatting>
  <conditionalFormatting sqref="H26:H30">
    <cfRule type="expression" dxfId="1689" priority="197" stopIfTrue="1">
      <formula>OR(($A26="Samstag"),($A26="Sonntag"))</formula>
    </cfRule>
  </conditionalFormatting>
  <conditionalFormatting sqref="H33:H37">
    <cfRule type="expression" dxfId="1688" priority="196" stopIfTrue="1">
      <formula>OR(($A33="Samstag"),($A33="Sonntag"))</formula>
    </cfRule>
  </conditionalFormatting>
  <conditionalFormatting sqref="H33:H37">
    <cfRule type="expression" dxfId="1687" priority="195" stopIfTrue="1">
      <formula>OR(($A33="Samstag"),($A33="Sonntag"))</formula>
    </cfRule>
  </conditionalFormatting>
  <conditionalFormatting sqref="H47:H51">
    <cfRule type="expression" dxfId="1686" priority="192" stopIfTrue="1">
      <formula>OR(($A47="Samstag"),($A47="Sonntag"))</formula>
    </cfRule>
  </conditionalFormatting>
  <conditionalFormatting sqref="H47:H51">
    <cfRule type="expression" dxfId="1685" priority="191" stopIfTrue="1">
      <formula>OR(($A47="Samstag"),($A47="Sonntag"))</formula>
    </cfRule>
  </conditionalFormatting>
  <conditionalFormatting sqref="I22:I52">
    <cfRule type="expression" dxfId="1684" priority="176" stopIfTrue="1">
      <formula>OR(($A22="Samstag"),($A22="Sonntag"))</formula>
    </cfRule>
  </conditionalFormatting>
  <conditionalFormatting sqref="I22:I52">
    <cfRule type="expression" dxfId="1683" priority="175" stopIfTrue="1">
      <formula>OR(($A22="Samstag"),($A22="Sonntag"))</formula>
    </cfRule>
  </conditionalFormatting>
  <conditionalFormatting sqref="N13 N17">
    <cfRule type="cellIs" dxfId="1682" priority="125" stopIfTrue="1" operator="equal">
      <formula>0</formula>
    </cfRule>
  </conditionalFormatting>
  <conditionalFormatting sqref="N13">
    <cfRule type="cellIs" dxfId="1681" priority="245" stopIfTrue="1" operator="equal">
      <formula>$F$12</formula>
    </cfRule>
    <cfRule type="cellIs" dxfId="1680" priority="246" stopIfTrue="1" operator="notEqual">
      <formula>$F$12</formula>
    </cfRule>
  </conditionalFormatting>
  <conditionalFormatting sqref="N17">
    <cfRule type="cellIs" dxfId="1679" priority="126" stopIfTrue="1" operator="notEqual">
      <formula>$F$16</formula>
    </cfRule>
    <cfRule type="cellIs" dxfId="1678" priority="244" stopIfTrue="1" operator="equal">
      <formula>$F$16</formula>
    </cfRule>
  </conditionalFormatting>
  <conditionalFormatting sqref="I23:I52">
    <cfRule type="expression" dxfId="1677" priority="122" stopIfTrue="1">
      <formula>OR(($A23="Samstag"),($A23="Sonntag"))</formula>
    </cfRule>
  </conditionalFormatting>
  <conditionalFormatting sqref="I23:I52">
    <cfRule type="expression" dxfId="1676" priority="121" stopIfTrue="1">
      <formula>OR(($A23="Samstag"),($A23="Sonntag"))</formula>
    </cfRule>
  </conditionalFormatting>
  <conditionalFormatting sqref="K55:N55">
    <cfRule type="expression" dxfId="1675" priority="120" stopIfTrue="1">
      <formula>OR(($A55="Samstag"),($A55="Sonntag"))</formula>
    </cfRule>
  </conditionalFormatting>
  <conditionalFormatting sqref="G32">
    <cfRule type="expression" dxfId="1674" priority="118" stopIfTrue="1">
      <formula>OR(($A32="Samstag"),($A32="Sonntag"))</formula>
    </cfRule>
  </conditionalFormatting>
  <conditionalFormatting sqref="G32">
    <cfRule type="expression" dxfId="1673" priority="117" stopIfTrue="1">
      <formula>OR(($A32="Samstag"),($A32="Sonntag"))</formula>
    </cfRule>
  </conditionalFormatting>
  <conditionalFormatting sqref="G52">
    <cfRule type="expression" dxfId="1672" priority="106" stopIfTrue="1">
      <formula>OR(($A52="Samstag"),($A52="Sonntag"))</formula>
    </cfRule>
  </conditionalFormatting>
  <conditionalFormatting sqref="G52">
    <cfRule type="expression" dxfId="1671" priority="105" stopIfTrue="1">
      <formula>OR(($A52="Samstag"),($A52="Sonntag"))</formula>
    </cfRule>
  </conditionalFormatting>
  <conditionalFormatting sqref="G46">
    <cfRule type="expression" dxfId="1670" priority="109" stopIfTrue="1">
      <formula>OR(($A46="Samstag"),($A46="Sonntag"))</formula>
    </cfRule>
  </conditionalFormatting>
  <conditionalFormatting sqref="G32">
    <cfRule type="expression" dxfId="1669" priority="113" stopIfTrue="1">
      <formula>OR(($A32="Samstag"),($A32="Sonntag"))</formula>
    </cfRule>
  </conditionalFormatting>
  <conditionalFormatting sqref="G24:G25">
    <cfRule type="expression" dxfId="1668" priority="116" stopIfTrue="1">
      <formula>OR(($A24="Samstag"),($A24="Sonntag"))</formula>
    </cfRule>
  </conditionalFormatting>
  <conditionalFormatting sqref="G24">
    <cfRule type="expression" dxfId="1667" priority="115" stopIfTrue="1">
      <formula>OR(($A24="Samstag"),($A24="Sonntag"))</formula>
    </cfRule>
  </conditionalFormatting>
  <conditionalFormatting sqref="G25">
    <cfRule type="expression" dxfId="1666" priority="114" stopIfTrue="1">
      <formula>OR(($A25="Samstag"),($A25="Sonntag"))</formula>
    </cfRule>
  </conditionalFormatting>
  <conditionalFormatting sqref="G39">
    <cfRule type="expression" dxfId="1665" priority="111" stopIfTrue="1">
      <formula>OR(($A39="Samstag"),($A39="Sonntag"))</formula>
    </cfRule>
  </conditionalFormatting>
  <conditionalFormatting sqref="G39">
    <cfRule type="expression" dxfId="1664" priority="112" stopIfTrue="1">
      <formula>OR(($A39="Samstag"),($A39="Sonntag"))</formula>
    </cfRule>
  </conditionalFormatting>
  <conditionalFormatting sqref="G39">
    <cfRule type="expression" dxfId="1663" priority="110" stopIfTrue="1">
      <formula>OR(($A39="Samstag"),($A39="Sonntag"))</formula>
    </cfRule>
  </conditionalFormatting>
  <conditionalFormatting sqref="G46">
    <cfRule type="expression" dxfId="1662" priority="108" stopIfTrue="1">
      <formula>OR(($A46="Samstag"),($A46="Sonntag"))</formula>
    </cfRule>
  </conditionalFormatting>
  <conditionalFormatting sqref="G46">
    <cfRule type="expression" dxfId="1661" priority="107" stopIfTrue="1">
      <formula>OR(($A46="Samstag"),($A46="Sonntag"))</formula>
    </cfRule>
  </conditionalFormatting>
  <conditionalFormatting sqref="F22:H52">
    <cfRule type="expression" dxfId="1660" priority="104" stopIfTrue="1">
      <formula>OR(($A22="Samstag"),($A22="Sonntag"))</formula>
    </cfRule>
  </conditionalFormatting>
  <conditionalFormatting sqref="F22:H52">
    <cfRule type="expression" dxfId="1659" priority="103" stopIfTrue="1">
      <formula>OR(($A22="Samstag"),($A22="Sonntag"))</formula>
    </cfRule>
  </conditionalFormatting>
  <conditionalFormatting sqref="G31">
    <cfRule type="expression" dxfId="1658" priority="102" stopIfTrue="1">
      <formula>OR(($A31="Samstag"),($A31="Sonntag"))</formula>
    </cfRule>
  </conditionalFormatting>
  <conditionalFormatting sqref="G31">
    <cfRule type="expression" dxfId="1657" priority="101" stopIfTrue="1">
      <formula>OR(($A31="Samstag"),($A31="Sonntag"))</formula>
    </cfRule>
  </conditionalFormatting>
  <conditionalFormatting sqref="G38">
    <cfRule type="expression" dxfId="1656" priority="100" stopIfTrue="1">
      <formula>OR(($A38="Samstag"),($A38="Sonntag"))</formula>
    </cfRule>
  </conditionalFormatting>
  <conditionalFormatting sqref="G38">
    <cfRule type="expression" dxfId="1655" priority="99" stopIfTrue="1">
      <formula>OR(($A38="Samstag"),($A38="Sonntag"))</formula>
    </cfRule>
  </conditionalFormatting>
  <conditionalFormatting sqref="G45">
    <cfRule type="expression" dxfId="1654" priority="98" stopIfTrue="1">
      <formula>OR(($A45="Samstag"),($A45="Sonntag"))</formula>
    </cfRule>
  </conditionalFormatting>
  <conditionalFormatting sqref="G45">
    <cfRule type="expression" dxfId="1653" priority="97" stopIfTrue="1">
      <formula>OR(($A45="Samstag"),($A45="Sonntag"))</formula>
    </cfRule>
  </conditionalFormatting>
  <conditionalFormatting sqref="G40:G44">
    <cfRule type="expression" dxfId="1652" priority="90" stopIfTrue="1">
      <formula>OR(($A40="Samstag"),($A40="Sonntag"))</formula>
    </cfRule>
  </conditionalFormatting>
  <conditionalFormatting sqref="G40:G44">
    <cfRule type="expression" dxfId="1651" priority="89" stopIfTrue="1">
      <formula>OR(($A40="Samstag"),($A40="Sonntag"))</formula>
    </cfRule>
  </conditionalFormatting>
  <conditionalFormatting sqref="G23">
    <cfRule type="expression" dxfId="1650" priority="96" stopIfTrue="1">
      <formula>OR(($A23="Samstag"),($A23="Sonntag"))</formula>
    </cfRule>
  </conditionalFormatting>
  <conditionalFormatting sqref="G23">
    <cfRule type="expression" dxfId="1649" priority="95" stopIfTrue="1">
      <formula>OR(($A23="Samstag"),($A23="Sonntag"))</formula>
    </cfRule>
  </conditionalFormatting>
  <conditionalFormatting sqref="G26:G30">
    <cfRule type="expression" dxfId="1648" priority="94" stopIfTrue="1">
      <formula>OR(($A26="Samstag"),($A26="Sonntag"))</formula>
    </cfRule>
  </conditionalFormatting>
  <conditionalFormatting sqref="G26:G30">
    <cfRule type="expression" dxfId="1647" priority="93" stopIfTrue="1">
      <formula>OR(($A26="Samstag"),($A26="Sonntag"))</formula>
    </cfRule>
  </conditionalFormatting>
  <conditionalFormatting sqref="G33:G37">
    <cfRule type="expression" dxfId="1646" priority="92" stopIfTrue="1">
      <formula>OR(($A33="Samstag"),($A33="Sonntag"))</formula>
    </cfRule>
  </conditionalFormatting>
  <conditionalFormatting sqref="G33:G37">
    <cfRule type="expression" dxfId="1645" priority="91" stopIfTrue="1">
      <formula>OR(($A33="Samstag"),($A33="Sonntag"))</formula>
    </cfRule>
  </conditionalFormatting>
  <conditionalFormatting sqref="G47:G51">
    <cfRule type="expression" dxfId="1644" priority="88" stopIfTrue="1">
      <formula>OR(($A47="Samstag"),($A47="Sonntag"))</formula>
    </cfRule>
  </conditionalFormatting>
  <conditionalFormatting sqref="G47:G51">
    <cfRule type="expression" dxfId="1643" priority="87" stopIfTrue="1">
      <formula>OR(($A47="Samstag"),($A47="Sonntag"))</formula>
    </cfRule>
  </conditionalFormatting>
  <conditionalFormatting sqref="H32">
    <cfRule type="expression" dxfId="1642" priority="86" stopIfTrue="1">
      <formula>OR(($A32="Samstag"),($A32="Sonntag"))</formula>
    </cfRule>
  </conditionalFormatting>
  <conditionalFormatting sqref="H32">
    <cfRule type="expression" dxfId="1641" priority="85" stopIfTrue="1">
      <formula>OR(($A32="Samstag"),($A32="Sonntag"))</formula>
    </cfRule>
  </conditionalFormatting>
  <conditionalFormatting sqref="H52">
    <cfRule type="expression" dxfId="1640" priority="74" stopIfTrue="1">
      <formula>OR(($A52="Samstag"),($A52="Sonntag"))</formula>
    </cfRule>
  </conditionalFormatting>
  <conditionalFormatting sqref="H52">
    <cfRule type="expression" dxfId="1639" priority="73" stopIfTrue="1">
      <formula>OR(($A52="Samstag"),($A52="Sonntag"))</formula>
    </cfRule>
  </conditionalFormatting>
  <conditionalFormatting sqref="H46">
    <cfRule type="expression" dxfId="1638" priority="77" stopIfTrue="1">
      <formula>OR(($A46="Samstag"),($A46="Sonntag"))</formula>
    </cfRule>
  </conditionalFormatting>
  <conditionalFormatting sqref="H32">
    <cfRule type="expression" dxfId="1637" priority="81" stopIfTrue="1">
      <formula>OR(($A32="Samstag"),($A32="Sonntag"))</formula>
    </cfRule>
  </conditionalFormatting>
  <conditionalFormatting sqref="H24:H25">
    <cfRule type="expression" dxfId="1636" priority="84" stopIfTrue="1">
      <formula>OR(($A24="Samstag"),($A24="Sonntag"))</formula>
    </cfRule>
  </conditionalFormatting>
  <conditionalFormatting sqref="H24">
    <cfRule type="expression" dxfId="1635" priority="83" stopIfTrue="1">
      <formula>OR(($A24="Samstag"),($A24="Sonntag"))</formula>
    </cfRule>
  </conditionalFormatting>
  <conditionalFormatting sqref="H25">
    <cfRule type="expression" dxfId="1634" priority="82" stopIfTrue="1">
      <formula>OR(($A25="Samstag"),($A25="Sonntag"))</formula>
    </cfRule>
  </conditionalFormatting>
  <conditionalFormatting sqref="H39">
    <cfRule type="expression" dxfId="1633" priority="79" stopIfTrue="1">
      <formula>OR(($A39="Samstag"),($A39="Sonntag"))</formula>
    </cfRule>
  </conditionalFormatting>
  <conditionalFormatting sqref="H39">
    <cfRule type="expression" dxfId="1632" priority="80" stopIfTrue="1">
      <formula>OR(($A39="Samstag"),($A39="Sonntag"))</formula>
    </cfRule>
  </conditionalFormatting>
  <conditionalFormatting sqref="H39">
    <cfRule type="expression" dxfId="1631" priority="78" stopIfTrue="1">
      <formula>OR(($A39="Samstag"),($A39="Sonntag"))</formula>
    </cfRule>
  </conditionalFormatting>
  <conditionalFormatting sqref="H46">
    <cfRule type="expression" dxfId="1630" priority="76" stopIfTrue="1">
      <formula>OR(($A46="Samstag"),($A46="Sonntag"))</formula>
    </cfRule>
  </conditionalFormatting>
  <conditionalFormatting sqref="H46">
    <cfRule type="expression" dxfId="1629" priority="75" stopIfTrue="1">
      <formula>OR(($A46="Samstag"),($A46="Sonntag"))</formula>
    </cfRule>
  </conditionalFormatting>
  <conditionalFormatting sqref="H22:H52">
    <cfRule type="expression" dxfId="1628" priority="72" stopIfTrue="1">
      <formula>OR(($A22="Samstag"),($A22="Sonntag"))</formula>
    </cfRule>
  </conditionalFormatting>
  <conditionalFormatting sqref="H22:H52">
    <cfRule type="expression" dxfId="1627" priority="71" stopIfTrue="1">
      <formula>OR(($A22="Samstag"),($A22="Sonntag"))</formula>
    </cfRule>
  </conditionalFormatting>
  <conditionalFormatting sqref="H31">
    <cfRule type="expression" dxfId="1626" priority="70" stopIfTrue="1">
      <formula>OR(($A31="Samstag"),($A31="Sonntag"))</formula>
    </cfRule>
  </conditionalFormatting>
  <conditionalFormatting sqref="H31">
    <cfRule type="expression" dxfId="1625" priority="69" stopIfTrue="1">
      <formula>OR(($A31="Samstag"),($A31="Sonntag"))</formula>
    </cfRule>
  </conditionalFormatting>
  <conditionalFormatting sqref="H38">
    <cfRule type="expression" dxfId="1624" priority="68" stopIfTrue="1">
      <formula>OR(($A38="Samstag"),($A38="Sonntag"))</formula>
    </cfRule>
  </conditionalFormatting>
  <conditionalFormatting sqref="H38">
    <cfRule type="expression" dxfId="1623" priority="67" stopIfTrue="1">
      <formula>OR(($A38="Samstag"),($A38="Sonntag"))</formula>
    </cfRule>
  </conditionalFormatting>
  <conditionalFormatting sqref="H45">
    <cfRule type="expression" dxfId="1622" priority="66" stopIfTrue="1">
      <formula>OR(($A45="Samstag"),($A45="Sonntag"))</formula>
    </cfRule>
  </conditionalFormatting>
  <conditionalFormatting sqref="H45">
    <cfRule type="expression" dxfId="1621" priority="65" stopIfTrue="1">
      <formula>OR(($A45="Samstag"),($A45="Sonntag"))</formula>
    </cfRule>
  </conditionalFormatting>
  <conditionalFormatting sqref="H40:H44">
    <cfRule type="expression" dxfId="1620" priority="58" stopIfTrue="1">
      <formula>OR(($A40="Samstag"),($A40="Sonntag"))</formula>
    </cfRule>
  </conditionalFormatting>
  <conditionalFormatting sqref="H40:H44">
    <cfRule type="expression" dxfId="1619" priority="57" stopIfTrue="1">
      <formula>OR(($A40="Samstag"),($A40="Sonntag"))</formula>
    </cfRule>
  </conditionalFormatting>
  <conditionalFormatting sqref="H23">
    <cfRule type="expression" dxfId="1618" priority="64" stopIfTrue="1">
      <formula>OR(($A23="Samstag"),($A23="Sonntag"))</formula>
    </cfRule>
  </conditionalFormatting>
  <conditionalFormatting sqref="H23">
    <cfRule type="expression" dxfId="1617" priority="63" stopIfTrue="1">
      <formula>OR(($A23="Samstag"),($A23="Sonntag"))</formula>
    </cfRule>
  </conditionalFormatting>
  <conditionalFormatting sqref="H26:H30">
    <cfRule type="expression" dxfId="1616" priority="62" stopIfTrue="1">
      <formula>OR(($A26="Samstag"),($A26="Sonntag"))</formula>
    </cfRule>
  </conditionalFormatting>
  <conditionalFormatting sqref="H26:H30">
    <cfRule type="expression" dxfId="1615" priority="61" stopIfTrue="1">
      <formula>OR(($A26="Samstag"),($A26="Sonntag"))</formula>
    </cfRule>
  </conditionalFormatting>
  <conditionalFormatting sqref="H33:H37">
    <cfRule type="expression" dxfId="1614" priority="60" stopIfTrue="1">
      <formula>OR(($A33="Samstag"),($A33="Sonntag"))</formula>
    </cfRule>
  </conditionalFormatting>
  <conditionalFormatting sqref="H33:H37">
    <cfRule type="expression" dxfId="1613" priority="59" stopIfTrue="1">
      <formula>OR(($A33="Samstag"),($A33="Sonntag"))</formula>
    </cfRule>
  </conditionalFormatting>
  <conditionalFormatting sqref="H47:H51">
    <cfRule type="expression" dxfId="1612" priority="56" stopIfTrue="1">
      <formula>OR(($A47="Samstag"),($A47="Sonntag"))</formula>
    </cfRule>
  </conditionalFormatting>
  <conditionalFormatting sqref="H47:H51">
    <cfRule type="expression" dxfId="1611" priority="55" stopIfTrue="1">
      <formula>OR(($A47="Samstag"),($A47="Sonntag"))</formula>
    </cfRule>
  </conditionalFormatting>
  <conditionalFormatting sqref="F23:H52">
    <cfRule type="expression" dxfId="1610" priority="54" stopIfTrue="1">
      <formula>OR(($A23="Samstag"),($A23="Sonntag"))</formula>
    </cfRule>
  </conditionalFormatting>
  <conditionalFormatting sqref="F23:H52">
    <cfRule type="expression" dxfId="1609" priority="53" stopIfTrue="1">
      <formula>OR(($A23="Samstag"),($A23="Sonntag"))</formula>
    </cfRule>
  </conditionalFormatting>
  <conditionalFormatting sqref="I22:I52">
    <cfRule type="expression" dxfId="1608" priority="38">
      <formula>(I22&gt;10)</formula>
    </cfRule>
    <cfRule type="expression" dxfId="1607" priority="49" stopIfTrue="1">
      <formula>OR(($A22="Samstag"),($A22="Sonntag"))</formula>
    </cfRule>
    <cfRule type="expression" dxfId="1606" priority="50" stopIfTrue="1">
      <formula>OR(($A22="Samstag"),($A22="Sonntag"))</formula>
    </cfRule>
    <cfRule type="expression" dxfId="1605" priority="52" stopIfTrue="1">
      <formula>OR(($A22="Samstag"),($A22="Sonntag"))</formula>
    </cfRule>
  </conditionalFormatting>
  <conditionalFormatting sqref="I22:I52">
    <cfRule type="expression" dxfId="1604" priority="51" stopIfTrue="1">
      <formula>OR(($A22="Samstag"),($A22="Sonntag"))</formula>
    </cfRule>
  </conditionalFormatting>
  <conditionalFormatting sqref="K56:P59">
    <cfRule type="expression" dxfId="1603" priority="48">
      <formula>OR(ISERROR($K$55),($K$55&gt;""))</formula>
    </cfRule>
  </conditionalFormatting>
  <conditionalFormatting sqref="L44:L52">
    <cfRule type="expression" dxfId="1602" priority="44" stopIfTrue="1">
      <formula>OR(($A44="Samstag"),($A44="Sonntag"))</formula>
    </cfRule>
  </conditionalFormatting>
  <conditionalFormatting sqref="L44:L52">
    <cfRule type="expression" dxfId="1601" priority="47" stopIfTrue="1">
      <formula>OR(($A44="Samstag"),($A44="Sonntag"))</formula>
    </cfRule>
  </conditionalFormatting>
  <conditionalFormatting sqref="L44:L52">
    <cfRule type="expression" dxfId="1600" priority="46" stopIfTrue="1">
      <formula>OR(($A44="Samstag"),($A44="Sonntag"))</formula>
    </cfRule>
  </conditionalFormatting>
  <conditionalFormatting sqref="L44:L52">
    <cfRule type="expression" dxfId="1599" priority="45" stopIfTrue="1">
      <formula>OR(($A44="Samstag"),($A44="Sonntag"))</formula>
    </cfRule>
  </conditionalFormatting>
  <conditionalFormatting sqref="L22">
    <cfRule type="expression" dxfId="1598" priority="43" stopIfTrue="1">
      <formula>OR(($A22="Samstag"),($A22="Sonntag"),($AA22=TRUE()))</formula>
    </cfRule>
  </conditionalFormatting>
  <conditionalFormatting sqref="L22">
    <cfRule type="expression" dxfId="1597" priority="42" stopIfTrue="1">
      <formula>OR(($A22="Samstag"),($A22="Sonntag"))</formula>
    </cfRule>
  </conditionalFormatting>
  <conditionalFormatting sqref="L40:L43">
    <cfRule type="expression" dxfId="1596" priority="41" stopIfTrue="1">
      <formula>OR(($A40="Samstag"),($A40="Sonntag"),($AA40=TRUE()))</formula>
    </cfRule>
  </conditionalFormatting>
  <conditionalFormatting sqref="L40:L43">
    <cfRule type="expression" dxfId="1595" priority="40" stopIfTrue="1">
      <formula>OR(($A40="Samstag"),($A40="Sonntag"))</formula>
    </cfRule>
  </conditionalFormatting>
  <conditionalFormatting sqref="G22:G52">
    <cfRule type="expression" dxfId="1594" priority="39">
      <formula>OR(AND(I22&gt;6,G22&lt;TIME(0,30,0)),AND(I22&gt;9,G22&lt;TIME(0,45,0)))</formula>
    </cfRule>
  </conditionalFormatting>
  <conditionalFormatting sqref="J22:K52">
    <cfRule type="expression" dxfId="1593" priority="37" stopIfTrue="1">
      <formula>OR(($A22="Samstag"),($A22="Sonntag"),($AA22=TRUE()))</formula>
    </cfRule>
  </conditionalFormatting>
  <conditionalFormatting sqref="J22:J52">
    <cfRule type="expression" dxfId="1592" priority="36" stopIfTrue="1">
      <formula>OR(($A22="Samstag"),($A22="Sonntag"))</formula>
    </cfRule>
  </conditionalFormatting>
  <conditionalFormatting sqref="J22:J52">
    <cfRule type="expression" dxfId="1591" priority="35" stopIfTrue="1">
      <formula>OR(($A22="Samstag"),($A22="Sonntag"))</formula>
    </cfRule>
  </conditionalFormatting>
  <conditionalFormatting sqref="K32">
    <cfRule type="expression" dxfId="1590" priority="34" stopIfTrue="1">
      <formula>OR(($A32="Samstag"),($A32="Sonntag"))</formula>
    </cfRule>
  </conditionalFormatting>
  <conditionalFormatting sqref="K32">
    <cfRule type="expression" dxfId="1589" priority="33" stopIfTrue="1">
      <formula>OR(($A32="Samstag"),($A32="Sonntag"))</formula>
    </cfRule>
  </conditionalFormatting>
  <conditionalFormatting sqref="K52">
    <cfRule type="expression" dxfId="1588" priority="22" stopIfTrue="1">
      <formula>OR(($A52="Samstag"),($A52="Sonntag"))</formula>
    </cfRule>
  </conditionalFormatting>
  <conditionalFormatting sqref="K52">
    <cfRule type="expression" dxfId="1587" priority="21" stopIfTrue="1">
      <formula>OR(($A52="Samstag"),($A52="Sonntag"))</formula>
    </cfRule>
  </conditionalFormatting>
  <conditionalFormatting sqref="K46">
    <cfRule type="expression" dxfId="1586" priority="25" stopIfTrue="1">
      <formula>OR(($A46="Samstag"),($A46="Sonntag"))</formula>
    </cfRule>
  </conditionalFormatting>
  <conditionalFormatting sqref="K32">
    <cfRule type="expression" dxfId="1585" priority="29" stopIfTrue="1">
      <formula>OR(($A32="Samstag"),($A32="Sonntag"))</formula>
    </cfRule>
  </conditionalFormatting>
  <conditionalFormatting sqref="K24:K25">
    <cfRule type="expression" dxfId="1584" priority="32" stopIfTrue="1">
      <formula>OR(($A24="Samstag"),($A24="Sonntag"))</formula>
    </cfRule>
  </conditionalFormatting>
  <conditionalFormatting sqref="K24">
    <cfRule type="expression" dxfId="1583" priority="31" stopIfTrue="1">
      <formula>OR(($A24="Samstag"),($A24="Sonntag"))</formula>
    </cfRule>
  </conditionalFormatting>
  <conditionalFormatting sqref="K25">
    <cfRule type="expression" dxfId="1582" priority="30" stopIfTrue="1">
      <formula>OR(($A25="Samstag"),($A25="Sonntag"))</formula>
    </cfRule>
  </conditionalFormatting>
  <conditionalFormatting sqref="K39">
    <cfRule type="expression" dxfId="1581" priority="27" stopIfTrue="1">
      <formula>OR(($A39="Samstag"),($A39="Sonntag"))</formula>
    </cfRule>
  </conditionalFormatting>
  <conditionalFormatting sqref="K39">
    <cfRule type="expression" dxfId="1580" priority="28" stopIfTrue="1">
      <formula>OR(($A39="Samstag"),($A39="Sonntag"))</formula>
    </cfRule>
  </conditionalFormatting>
  <conditionalFormatting sqref="K39">
    <cfRule type="expression" dxfId="1579" priority="26" stopIfTrue="1">
      <formula>OR(($A39="Samstag"),($A39="Sonntag"))</formula>
    </cfRule>
  </conditionalFormatting>
  <conditionalFormatting sqref="K46">
    <cfRule type="expression" dxfId="1578" priority="24" stopIfTrue="1">
      <formula>OR(($A46="Samstag"),($A46="Sonntag"))</formula>
    </cfRule>
  </conditionalFormatting>
  <conditionalFormatting sqref="K46">
    <cfRule type="expression" dxfId="1577" priority="23" stopIfTrue="1">
      <formula>OR(($A46="Samstag"),($A46="Sonntag"))</formula>
    </cfRule>
  </conditionalFormatting>
  <conditionalFormatting sqref="K22:K52">
    <cfRule type="expression" dxfId="1576" priority="20" stopIfTrue="1">
      <formula>OR(($A22="Samstag"),($A22="Sonntag"))</formula>
    </cfRule>
  </conditionalFormatting>
  <conditionalFormatting sqref="K22:K52">
    <cfRule type="expression" dxfId="1575" priority="19" stopIfTrue="1">
      <formula>OR(($A22="Samstag"),($A22="Sonntag"))</formula>
    </cfRule>
  </conditionalFormatting>
  <conditionalFormatting sqref="K31">
    <cfRule type="expression" dxfId="1574" priority="18" stopIfTrue="1">
      <formula>OR(($A31="Samstag"),($A31="Sonntag"))</formula>
    </cfRule>
  </conditionalFormatting>
  <conditionalFormatting sqref="K31">
    <cfRule type="expression" dxfId="1573" priority="17" stopIfTrue="1">
      <formula>OR(($A31="Samstag"),($A31="Sonntag"))</formula>
    </cfRule>
  </conditionalFormatting>
  <conditionalFormatting sqref="K38">
    <cfRule type="expression" dxfId="1572" priority="16" stopIfTrue="1">
      <formula>OR(($A38="Samstag"),($A38="Sonntag"))</formula>
    </cfRule>
  </conditionalFormatting>
  <conditionalFormatting sqref="K38">
    <cfRule type="expression" dxfId="1571" priority="15" stopIfTrue="1">
      <formula>OR(($A38="Samstag"),($A38="Sonntag"))</formula>
    </cfRule>
  </conditionalFormatting>
  <conditionalFormatting sqref="K45">
    <cfRule type="expression" dxfId="1570" priority="14" stopIfTrue="1">
      <formula>OR(($A45="Samstag"),($A45="Sonntag"))</formula>
    </cfRule>
  </conditionalFormatting>
  <conditionalFormatting sqref="K45">
    <cfRule type="expression" dxfId="1569" priority="13" stopIfTrue="1">
      <formula>OR(($A45="Samstag"),($A45="Sonntag"))</formula>
    </cfRule>
  </conditionalFormatting>
  <conditionalFormatting sqref="K40:K44">
    <cfRule type="expression" dxfId="1568" priority="6" stopIfTrue="1">
      <formula>OR(($A40="Samstag"),($A40="Sonntag"))</formula>
    </cfRule>
  </conditionalFormatting>
  <conditionalFormatting sqref="K40:K44">
    <cfRule type="expression" dxfId="1567" priority="5" stopIfTrue="1">
      <formula>OR(($A40="Samstag"),($A40="Sonntag"))</formula>
    </cfRule>
  </conditionalFormatting>
  <conditionalFormatting sqref="K23">
    <cfRule type="expression" dxfId="1566" priority="12" stopIfTrue="1">
      <formula>OR(($A23="Samstag"),($A23="Sonntag"))</formula>
    </cfRule>
  </conditionalFormatting>
  <conditionalFormatting sqref="K23">
    <cfRule type="expression" dxfId="1565" priority="11" stopIfTrue="1">
      <formula>OR(($A23="Samstag"),($A23="Sonntag"))</formula>
    </cfRule>
  </conditionalFormatting>
  <conditionalFormatting sqref="K26:K30">
    <cfRule type="expression" dxfId="1564" priority="10" stopIfTrue="1">
      <formula>OR(($A26="Samstag"),($A26="Sonntag"))</formula>
    </cfRule>
  </conditionalFormatting>
  <conditionalFormatting sqref="K26:K30">
    <cfRule type="expression" dxfId="1563" priority="9" stopIfTrue="1">
      <formula>OR(($A26="Samstag"),($A26="Sonntag"))</formula>
    </cfRule>
  </conditionalFormatting>
  <conditionalFormatting sqref="K33:K37">
    <cfRule type="expression" dxfId="1562" priority="8" stopIfTrue="1">
      <formula>OR(($A33="Samstag"),($A33="Sonntag"))</formula>
    </cfRule>
  </conditionalFormatting>
  <conditionalFormatting sqref="K33:K37">
    <cfRule type="expression" dxfId="1561" priority="7" stopIfTrue="1">
      <formula>OR(($A33="Samstag"),($A33="Sonntag"))</formula>
    </cfRule>
  </conditionalFormatting>
  <conditionalFormatting sqref="K47:K51">
    <cfRule type="expression" dxfId="1560" priority="4" stopIfTrue="1">
      <formula>OR(($A47="Samstag"),($A47="Sonntag"))</formula>
    </cfRule>
  </conditionalFormatting>
  <conditionalFormatting sqref="K47:K51">
    <cfRule type="expression" dxfId="1559" priority="3" stopIfTrue="1">
      <formula>OR(($A47="Samstag"),($A47="Sonntag"))</formula>
    </cfRule>
  </conditionalFormatting>
  <conditionalFormatting sqref="J22:J52">
    <cfRule type="expression" dxfId="1558" priority="2" stopIfTrue="1">
      <formula>OR(($A22="Samstag"),($A22="Sonntag"))</formula>
    </cfRule>
  </conditionalFormatting>
  <conditionalFormatting sqref="J22:J52">
    <cfRule type="expression" dxfId="1557" priority="1" stopIfTrue="1">
      <formula>OR(($A22="Samstag"),($A22="Sonntag"))</formula>
    </cfRule>
  </conditionalFormatting>
  <dataValidations count="8">
    <dataValidation type="custom" allowBlank="1" showInputMessage="1" showErrorMessage="1" errorTitle="Eingabefehler" error="Bitte geben Sie eine Uhrzeit ( hh:mm ) zwischen 0:00 und 23:59 ein. Bitte beachten Sie, dass eine Eingabe an Wochenenden sowie an Tagen mit dem Status &quot;bezahlt abwesend&quot; nicht möglich ist." sqref="F22:H52">
      <formula1>AND(ISNUMBER(F22),DAY($B22)&gt;0,NOT(AND($C22="BA",NOT($S$8))),NOT(AND(OR($A22="Sonntag",$A22="Samstag"),NOT($S$7))),F22&gt;=TIME(0,0,0),F22&lt;=TIME(23,59,59))</formula1>
    </dataValidation>
    <dataValidation type="list" showInputMessage="1" showErrorMessage="1" sqref="C22:C52">
      <formula1>Auswahlart</formula1>
    </dataValidation>
    <dataValidation type="list" allowBlank="1" showInputMessage="1" showErrorMessage="1" sqref="E17:F17">
      <formula1>$B$22:$B$52</formula1>
    </dataValidation>
    <dataValidation showInputMessage="1" showErrorMessage="1" sqref="G10:I10"/>
    <dataValidation type="decimal" allowBlank="1" showInputMessage="1" showErrorMessage="1" sqref="I16:M16 I12:M12">
      <formula1>$AA$35</formula1>
      <formula2>$AA$36</formula2>
    </dataValidation>
    <dataValidation type="decimal" allowBlank="1" showInputMessage="1" showErrorMessage="1" errorTitle="Eingabefehler" error="Bitte geben Sie eine positive Dezimalzahl ein." sqref="D22:D52">
      <formula1>0</formula1>
      <formula2>20</formula2>
    </dataValidation>
    <dataValidation type="decimal" allowBlank="1" showInputMessage="1" showErrorMessage="1" sqref="M7:O7">
      <formula1>-9999999</formula1>
      <formula2>9999999</formula2>
    </dataValidation>
    <dataValidation type="decimal" allowBlank="1" showInputMessage="1" showErrorMessage="1" sqref="F12 F16 I17:M17 I13:M13">
      <formula1>0</formula1>
      <formula2>45</formula2>
    </dataValidation>
  </dataValidations>
  <pageMargins left="0.43307086614173229" right="0.23622047244094491" top="0.89" bottom="0.54" header="0.4" footer="0.31496062992125984"/>
  <pageSetup paperSize="9" scale="65" orientation="portrait" r:id="rId1"/>
  <headerFooter differentFirst="1" alignWithMargins="0">
    <firstHeader>&amp;L&amp;G</firstHeader>
  </headerFooter>
  <drawing r:id="rId2"/>
  <legacyDrawing r:id="rId3"/>
  <legacyDrawingHF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pageSetUpPr fitToPage="1"/>
  </sheetPr>
  <dimension ref="A1:IR80"/>
  <sheetViews>
    <sheetView showGridLines="0" showRowColHeaders="0" topLeftCell="A36" zoomScaleNormal="100" zoomScaleSheetLayoutView="55" workbookViewId="0">
      <selection activeCell="I9" sqref="I9"/>
    </sheetView>
  </sheetViews>
  <sheetFormatPr baseColWidth="10" defaultColWidth="6.25" defaultRowHeight="0" customHeight="1" zeroHeight="1"/>
  <cols>
    <col min="1" max="1" width="5" style="6" customWidth="1"/>
    <col min="2" max="2" width="11.25" style="57" customWidth="1"/>
    <col min="3" max="3" width="7.5" style="57" customWidth="1"/>
    <col min="4" max="8" width="7.75" style="57" customWidth="1"/>
    <col min="9" max="13" width="8.125" style="57" customWidth="1"/>
    <col min="14" max="14" width="7.5" style="57" customWidth="1"/>
    <col min="15" max="15" width="10" style="57" customWidth="1"/>
    <col min="16" max="16" width="7.5" style="24" customWidth="1"/>
    <col min="17" max="17" width="5" style="24" customWidth="1"/>
    <col min="18" max="18" width="10.125" style="6" customWidth="1"/>
    <col min="19" max="19" width="7.5" style="6" bestFit="1" customWidth="1"/>
    <col min="20" max="20" width="8.5" style="6" bestFit="1" customWidth="1"/>
    <col min="21" max="21" width="7.25" style="6" bestFit="1" customWidth="1"/>
    <col min="22" max="22" width="7.75" style="6" bestFit="1" customWidth="1"/>
    <col min="23" max="23" width="7.5" style="6" bestFit="1" customWidth="1"/>
    <col min="24" max="24" width="8.125" style="6" bestFit="1" customWidth="1"/>
    <col min="25" max="25" width="7.25" style="6" bestFit="1" customWidth="1"/>
    <col min="26" max="26" width="7.25" style="6" customWidth="1"/>
    <col min="27" max="27" width="10.5" style="68" customWidth="1"/>
    <col min="28" max="28" width="9.875" style="68" customWidth="1"/>
    <col min="29" max="29" width="11.125" style="6" customWidth="1"/>
    <col min="30" max="31" width="11.125" style="95" customWidth="1"/>
    <col min="32" max="34" width="6.25" style="96" customWidth="1"/>
    <col min="35" max="252" width="6.25" style="3" customWidth="1"/>
    <col min="253" max="16384" width="6.25" style="3"/>
  </cols>
  <sheetData>
    <row r="1" spans="1:34" ht="11.25" customHeight="1">
      <c r="A1" s="3"/>
      <c r="B1" s="92"/>
      <c r="C1" s="92"/>
      <c r="D1" s="92"/>
      <c r="E1" s="92"/>
      <c r="F1" s="92"/>
      <c r="G1" s="92"/>
      <c r="H1" s="92"/>
      <c r="I1" s="92"/>
      <c r="J1" s="92"/>
      <c r="K1" s="92"/>
      <c r="L1" s="92"/>
      <c r="M1" s="92"/>
      <c r="N1" s="92"/>
      <c r="O1" s="92"/>
      <c r="P1" s="8"/>
      <c r="Q1" s="154"/>
      <c r="R1" s="154"/>
      <c r="S1" s="69"/>
      <c r="T1" s="69"/>
      <c r="U1" s="69"/>
      <c r="V1" s="3"/>
      <c r="W1" s="3"/>
      <c r="X1" s="3"/>
      <c r="Y1" s="3"/>
      <c r="Z1" s="3"/>
      <c r="AA1" s="3"/>
      <c r="AB1" s="3"/>
      <c r="AC1" s="3"/>
      <c r="AD1" s="3"/>
      <c r="AE1" s="3"/>
      <c r="AF1" s="3"/>
      <c r="AG1" s="3"/>
      <c r="AH1" s="3"/>
    </row>
    <row r="2" spans="1:34" ht="18.75" customHeight="1">
      <c r="A2" s="3"/>
      <c r="B2" s="221" t="s">
        <v>9</v>
      </c>
      <c r="C2" s="221"/>
      <c r="D2" s="221"/>
      <c r="E2" s="221"/>
      <c r="F2" s="221"/>
      <c r="G2" s="221"/>
      <c r="H2" s="221"/>
      <c r="I2" s="221" t="s">
        <v>34</v>
      </c>
      <c r="J2" s="221"/>
      <c r="K2" s="278">
        <f>Übersicht!K2</f>
        <v>2017</v>
      </c>
      <c r="L2" s="278"/>
      <c r="M2" s="93"/>
      <c r="N2" s="93"/>
      <c r="O2" s="93"/>
      <c r="P2" s="94"/>
      <c r="Q2" s="154"/>
      <c r="R2" s="154"/>
      <c r="S2" s="69"/>
      <c r="T2" s="69"/>
      <c r="U2" s="69"/>
      <c r="V2" s="3"/>
      <c r="W2" s="3"/>
      <c r="X2" s="3"/>
      <c r="Y2" s="3"/>
      <c r="Z2" s="3"/>
      <c r="AA2" s="3"/>
      <c r="AB2" s="3"/>
      <c r="AC2" s="3"/>
      <c r="AD2" s="3"/>
      <c r="AE2" s="3"/>
      <c r="AF2" s="3"/>
      <c r="AG2" s="3"/>
      <c r="AH2" s="3"/>
    </row>
    <row r="3" spans="1:34" ht="11.25" customHeight="1">
      <c r="A3" s="3"/>
      <c r="B3" s="10"/>
      <c r="C3" s="10"/>
      <c r="D3" s="10"/>
      <c r="E3" s="10"/>
      <c r="F3" s="10"/>
      <c r="G3" s="10"/>
      <c r="H3" s="10"/>
      <c r="I3" s="10"/>
      <c r="J3" s="10"/>
      <c r="K3" s="10"/>
      <c r="L3" s="10"/>
      <c r="M3" s="10"/>
      <c r="N3" s="10"/>
      <c r="O3" s="10"/>
      <c r="P3" s="8"/>
      <c r="Q3" s="154"/>
      <c r="R3" s="154"/>
      <c r="S3" s="69"/>
      <c r="T3" s="69"/>
      <c r="U3" s="69"/>
      <c r="V3" s="3"/>
      <c r="W3" s="3"/>
      <c r="X3" s="3"/>
      <c r="Y3" s="3"/>
      <c r="Z3" s="3"/>
      <c r="AA3" s="3"/>
      <c r="AB3" s="3"/>
      <c r="AC3" s="3"/>
      <c r="AD3" s="3"/>
      <c r="AE3" s="3"/>
      <c r="AF3" s="3"/>
      <c r="AG3" s="3"/>
      <c r="AH3" s="3"/>
    </row>
    <row r="4" spans="1:34" ht="15" customHeight="1">
      <c r="A4" s="3"/>
      <c r="B4" s="11"/>
      <c r="C4" s="12"/>
      <c r="D4" s="12"/>
      <c r="E4" s="12"/>
      <c r="F4" s="12"/>
      <c r="G4" s="12"/>
      <c r="H4" s="12"/>
      <c r="I4" s="12"/>
      <c r="J4" s="12"/>
      <c r="K4" s="12"/>
      <c r="L4" s="12"/>
      <c r="M4" s="12"/>
      <c r="N4" s="12"/>
      <c r="O4" s="12"/>
      <c r="P4" s="13"/>
      <c r="Q4" s="154"/>
      <c r="R4" s="154"/>
      <c r="S4" s="69"/>
      <c r="T4" s="69"/>
      <c r="U4" s="69"/>
      <c r="V4" s="3"/>
      <c r="W4" s="3"/>
      <c r="X4" s="3"/>
      <c r="Y4" s="3"/>
      <c r="Z4" s="3"/>
      <c r="AA4" s="3"/>
      <c r="AB4" s="3"/>
      <c r="AC4" s="3"/>
      <c r="AD4" s="3"/>
      <c r="AE4" s="3"/>
      <c r="AF4" s="3"/>
      <c r="AG4" s="3"/>
      <c r="AH4" s="3"/>
    </row>
    <row r="5" spans="1:34" ht="22.5" customHeight="1">
      <c r="A5" s="3"/>
      <c r="B5" s="107"/>
      <c r="C5" s="25" t="s">
        <v>3</v>
      </c>
      <c r="D5" s="15"/>
      <c r="E5" s="258" t="str">
        <f>IF(Übersicht!E5&lt;&gt;"",Übersicht!E5,"")</f>
        <v>Jansen, David</v>
      </c>
      <c r="F5" s="259"/>
      <c r="G5" s="259"/>
      <c r="H5" s="260"/>
      <c r="I5" s="16"/>
      <c r="J5" s="25" t="s">
        <v>65</v>
      </c>
      <c r="K5" s="16"/>
      <c r="M5" s="261">
        <f>IF(Übersicht!M5&lt;&gt;"",Übersicht!M5,"")</f>
        <v>419510</v>
      </c>
      <c r="N5" s="262"/>
      <c r="O5" s="263"/>
      <c r="P5" s="17"/>
      <c r="Q5" s="155"/>
      <c r="R5" s="155"/>
      <c r="S5" s="68"/>
      <c r="T5" s="68"/>
      <c r="V5" s="3"/>
      <c r="W5" s="3"/>
      <c r="X5" s="3"/>
      <c r="Y5" s="3"/>
      <c r="Z5" s="3"/>
      <c r="AA5" s="3"/>
      <c r="AB5" s="3"/>
      <c r="AC5" s="3"/>
      <c r="AD5" s="3"/>
      <c r="AE5" s="3"/>
      <c r="AF5" s="3"/>
      <c r="AG5" s="3"/>
      <c r="AH5" s="3"/>
    </row>
    <row r="6" spans="1:34" ht="15">
      <c r="A6" s="3"/>
      <c r="B6" s="18"/>
      <c r="C6" s="19"/>
      <c r="D6" s="19"/>
      <c r="E6" s="19"/>
      <c r="F6" s="19"/>
      <c r="G6" s="20"/>
      <c r="H6" s="20"/>
      <c r="I6" s="16"/>
      <c r="J6" s="16"/>
      <c r="P6" s="23"/>
      <c r="Q6" s="156"/>
      <c r="R6" s="156"/>
      <c r="V6" s="3"/>
      <c r="W6" s="3"/>
      <c r="X6" s="3"/>
      <c r="Y6" s="3"/>
      <c r="Z6" s="3"/>
      <c r="AA6" s="3"/>
      <c r="AB6" s="3"/>
      <c r="AC6" s="3"/>
      <c r="AD6" s="3"/>
      <c r="AE6" s="3"/>
      <c r="AF6" s="3"/>
      <c r="AG6" s="3"/>
      <c r="AH6" s="3"/>
    </row>
    <row r="7" spans="1:34" ht="22.5" customHeight="1">
      <c r="A7" s="3"/>
      <c r="B7" s="107"/>
      <c r="C7" s="25" t="s">
        <v>7</v>
      </c>
      <c r="D7" s="16"/>
      <c r="E7" s="258" t="str">
        <f>IF(Übersicht!E7&lt;&gt;"",Übersicht!E7,"")</f>
        <v>Hiwi</v>
      </c>
      <c r="F7" s="259"/>
      <c r="G7" s="259"/>
      <c r="H7" s="260"/>
      <c r="I7" s="16"/>
      <c r="J7" s="25" t="s">
        <v>74</v>
      </c>
      <c r="K7" s="16"/>
      <c r="M7" s="272">
        <f>April!K54</f>
        <v>2.2499999999999982</v>
      </c>
      <c r="N7" s="285"/>
      <c r="O7" s="286"/>
      <c r="P7" s="23"/>
      <c r="Q7" s="156"/>
      <c r="R7" s="6" t="s">
        <v>81</v>
      </c>
      <c r="S7" s="211" t="b">
        <f>OR(IF(E7&gt;"",IF(MID(E7,LEN(E7)-1,2)="WE","WAHR",FALSE),FALSE),IF(E7&gt;"",IF(MID(E7,LEN(E7)-2,3)="WEF","WAHR",FALSE),FALSE))</f>
        <v>0</v>
      </c>
      <c r="V7" s="3"/>
      <c r="W7" s="3"/>
      <c r="X7" s="3"/>
      <c r="Y7" s="3"/>
      <c r="Z7" s="3"/>
      <c r="AA7" s="3"/>
      <c r="AB7" s="3"/>
      <c r="AC7" s="3"/>
      <c r="AD7" s="3"/>
      <c r="AE7" s="3"/>
      <c r="AF7" s="3"/>
      <c r="AG7" s="3"/>
      <c r="AH7" s="3"/>
    </row>
    <row r="8" spans="1:34" ht="22.5" customHeight="1">
      <c r="A8" s="3"/>
      <c r="B8" s="186"/>
      <c r="C8" s="187"/>
      <c r="D8" s="187"/>
      <c r="E8" s="187"/>
      <c r="F8" s="188"/>
      <c r="G8" s="189"/>
      <c r="H8" s="189"/>
      <c r="I8" s="189"/>
      <c r="J8" s="61"/>
      <c r="K8" s="61"/>
      <c r="L8" s="61"/>
      <c r="M8" s="61"/>
      <c r="N8" s="61"/>
      <c r="O8" s="61"/>
      <c r="P8" s="190"/>
      <c r="Q8" s="156"/>
      <c r="R8" s="6" t="s">
        <v>82</v>
      </c>
      <c r="S8" s="211" t="b">
        <f>IF(E7&gt;"",IF(MID(E7,LEN(E7)-2,3)="WEF","WAHR",FALSE),FALSE)</f>
        <v>0</v>
      </c>
      <c r="V8" s="3"/>
      <c r="W8" s="3"/>
      <c r="X8" s="3"/>
      <c r="Y8" s="3"/>
      <c r="Z8" s="3"/>
      <c r="AA8" s="3"/>
      <c r="AB8" s="3"/>
      <c r="AC8" s="3"/>
      <c r="AD8" s="3"/>
      <c r="AE8" s="3"/>
      <c r="AF8" s="3"/>
      <c r="AG8" s="3"/>
      <c r="AH8" s="3"/>
    </row>
    <row r="9" spans="1:34" ht="22.5" customHeight="1">
      <c r="A9" s="3"/>
      <c r="B9" s="107"/>
      <c r="C9" s="25" t="s">
        <v>73</v>
      </c>
      <c r="D9" s="16"/>
      <c r="E9" s="191" t="str">
        <f>IF(Übersicht!E11&lt;&gt;"",Übersicht!E11,"")</f>
        <v>Innogy Abwasser</v>
      </c>
      <c r="F9" s="192"/>
      <c r="G9" s="192"/>
      <c r="H9" s="192"/>
      <c r="I9" s="192"/>
      <c r="J9" s="192"/>
      <c r="K9" s="192"/>
      <c r="L9" s="192"/>
      <c r="M9" s="192"/>
      <c r="N9" s="192"/>
      <c r="O9" s="193"/>
      <c r="P9" s="23"/>
      <c r="Q9" s="156"/>
      <c r="R9" s="156"/>
      <c r="V9" s="3"/>
      <c r="W9" s="3"/>
      <c r="X9" s="3"/>
      <c r="Y9" s="3"/>
      <c r="Z9" s="3"/>
      <c r="AA9" s="3"/>
      <c r="AB9" s="3"/>
      <c r="AC9" s="3"/>
      <c r="AD9" s="3"/>
      <c r="AE9" s="3"/>
      <c r="AF9" s="3"/>
      <c r="AG9" s="3"/>
      <c r="AH9" s="3"/>
    </row>
    <row r="10" spans="1:34" ht="15">
      <c r="A10" s="3"/>
      <c r="B10" s="14"/>
      <c r="C10" s="25"/>
      <c r="D10" s="25"/>
      <c r="E10" s="25"/>
      <c r="F10" s="19"/>
      <c r="G10" s="26"/>
      <c r="H10" s="26"/>
      <c r="I10" s="26"/>
      <c r="P10" s="23"/>
      <c r="Q10" s="157"/>
      <c r="R10" s="157"/>
      <c r="S10" s="68"/>
      <c r="T10" s="68"/>
      <c r="U10" s="68"/>
      <c r="V10" s="3"/>
      <c r="W10" s="3"/>
      <c r="X10" s="3"/>
      <c r="Y10" s="3"/>
      <c r="Z10" s="3"/>
      <c r="AA10" s="3"/>
      <c r="AB10" s="3"/>
      <c r="AC10" s="3"/>
      <c r="AD10" s="3"/>
      <c r="AE10" s="3"/>
      <c r="AF10" s="3"/>
      <c r="AG10" s="3"/>
      <c r="AH10" s="3"/>
    </row>
    <row r="11" spans="1:34" ht="15" customHeight="1">
      <c r="A11" s="3"/>
      <c r="B11" s="112"/>
      <c r="C11" s="113"/>
      <c r="D11" s="114"/>
      <c r="E11" s="114"/>
      <c r="F11" s="115"/>
      <c r="G11" s="115"/>
      <c r="H11" s="116" t="s">
        <v>42</v>
      </c>
      <c r="I11" s="117" t="s">
        <v>12</v>
      </c>
      <c r="J11" s="118" t="s">
        <v>13</v>
      </c>
      <c r="K11" s="119" t="s">
        <v>14</v>
      </c>
      <c r="L11" s="117" t="s">
        <v>15</v>
      </c>
      <c r="M11" s="117" t="s">
        <v>16</v>
      </c>
      <c r="N11" s="120"/>
      <c r="O11" s="150"/>
      <c r="P11" s="23"/>
      <c r="Q11" s="156"/>
      <c r="R11" s="156"/>
      <c r="V11" s="3"/>
      <c r="W11" s="3"/>
      <c r="X11" s="3"/>
      <c r="Y11" s="3"/>
      <c r="Z11" s="3"/>
      <c r="AA11" s="3"/>
      <c r="AB11" s="3"/>
      <c r="AC11" s="3"/>
      <c r="AD11" s="3"/>
      <c r="AE11" s="3"/>
      <c r="AF11" s="3"/>
      <c r="AG11" s="3"/>
      <c r="AH11" s="3"/>
    </row>
    <row r="12" spans="1:34" ht="22.5" customHeight="1">
      <c r="A12" s="3"/>
      <c r="B12" s="112"/>
      <c r="C12" s="14" t="s">
        <v>30</v>
      </c>
      <c r="D12" s="21"/>
      <c r="E12" s="22"/>
      <c r="F12" s="152">
        <f>IF(April!F16&gt;0,April!F16,April!F12)</f>
        <v>10</v>
      </c>
      <c r="G12" s="92"/>
      <c r="H12" s="121" t="s">
        <v>43</v>
      </c>
      <c r="I12" s="122">
        <f>$F$12/5</f>
        <v>2</v>
      </c>
      <c r="J12" s="123">
        <f>$F$12/5</f>
        <v>2</v>
      </c>
      <c r="K12" s="123">
        <f>$F$12/5</f>
        <v>2</v>
      </c>
      <c r="L12" s="123">
        <f>$F$12/5</f>
        <v>2</v>
      </c>
      <c r="M12" s="124">
        <f>$F$12/5</f>
        <v>2</v>
      </c>
      <c r="N12" s="125" t="s">
        <v>45</v>
      </c>
      <c r="O12" s="150"/>
      <c r="P12" s="23"/>
      <c r="Q12" s="156"/>
      <c r="R12" s="156"/>
      <c r="V12" s="3"/>
      <c r="W12" s="3"/>
      <c r="X12" s="3"/>
      <c r="Y12" s="3"/>
      <c r="Z12" s="3"/>
      <c r="AA12" s="3"/>
      <c r="AB12" s="3"/>
      <c r="AC12" s="3"/>
      <c r="AD12" s="3"/>
      <c r="AE12" s="3"/>
      <c r="AF12" s="3"/>
      <c r="AG12" s="3"/>
      <c r="AH12" s="3"/>
    </row>
    <row r="13" spans="1:34" ht="22.5" customHeight="1">
      <c r="A13" s="3"/>
      <c r="B13" s="112"/>
      <c r="C13" s="126"/>
      <c r="D13" s="151"/>
      <c r="E13" s="151"/>
      <c r="F13" s="127"/>
      <c r="G13" s="127"/>
      <c r="H13" s="128" t="s">
        <v>44</v>
      </c>
      <c r="I13" s="108"/>
      <c r="J13" s="109"/>
      <c r="K13" s="109"/>
      <c r="L13" s="109"/>
      <c r="M13" s="110"/>
      <c r="N13" s="88">
        <f>SUM(I13:M13)</f>
        <v>0</v>
      </c>
      <c r="O13" s="150"/>
      <c r="P13" s="23"/>
      <c r="Q13" s="156"/>
      <c r="R13" s="156"/>
      <c r="V13" s="3"/>
      <c r="W13" s="3"/>
      <c r="X13" s="3"/>
      <c r="Y13" s="3"/>
      <c r="Z13" s="3"/>
      <c r="AA13" s="3"/>
      <c r="AB13" s="3"/>
      <c r="AC13" s="3"/>
      <c r="AD13" s="3"/>
      <c r="AE13" s="3"/>
      <c r="AF13" s="3"/>
      <c r="AG13" s="3"/>
      <c r="AH13" s="3"/>
    </row>
    <row r="14" spans="1:34" ht="18.75" customHeight="1">
      <c r="A14" s="3"/>
      <c r="B14" s="112"/>
      <c r="C14" s="149" t="s">
        <v>80</v>
      </c>
      <c r="D14" s="25"/>
      <c r="E14" s="27"/>
      <c r="F14" s="7"/>
      <c r="G14" s="7"/>
      <c r="O14" s="150"/>
      <c r="P14" s="23"/>
      <c r="Q14" s="156"/>
      <c r="R14" s="156"/>
      <c r="V14" s="3"/>
      <c r="W14" s="3"/>
      <c r="X14" s="3"/>
      <c r="Y14" s="3"/>
      <c r="Z14" s="3"/>
      <c r="AA14" s="3"/>
      <c r="AB14" s="3"/>
      <c r="AC14" s="3"/>
      <c r="AD14" s="3"/>
      <c r="AE14" s="3"/>
      <c r="AF14" s="3"/>
      <c r="AG14" s="3"/>
      <c r="AH14" s="3"/>
    </row>
    <row r="15" spans="1:34" ht="15" customHeight="1">
      <c r="A15" s="3"/>
      <c r="B15" s="112"/>
      <c r="C15" s="111"/>
      <c r="D15" s="129"/>
      <c r="E15" s="130"/>
      <c r="F15" s="130"/>
      <c r="G15" s="131"/>
      <c r="H15" s="132" t="s">
        <v>49</v>
      </c>
      <c r="I15" s="133" t="s">
        <v>12</v>
      </c>
      <c r="J15" s="134" t="s">
        <v>13</v>
      </c>
      <c r="K15" s="135" t="s">
        <v>14</v>
      </c>
      <c r="L15" s="133" t="s">
        <v>15</v>
      </c>
      <c r="M15" s="133" t="s">
        <v>16</v>
      </c>
      <c r="N15" s="136"/>
      <c r="O15" s="150"/>
      <c r="P15" s="23"/>
      <c r="Q15" s="156"/>
      <c r="R15" s="156"/>
      <c r="V15" s="3"/>
      <c r="W15" s="3"/>
      <c r="X15" s="3"/>
      <c r="Y15" s="3"/>
      <c r="Z15" s="3"/>
      <c r="AA15" s="3"/>
      <c r="AB15" s="3"/>
      <c r="AC15" s="3"/>
      <c r="AD15" s="3"/>
      <c r="AE15" s="3"/>
      <c r="AF15" s="3"/>
      <c r="AG15" s="3"/>
      <c r="AH15" s="3"/>
    </row>
    <row r="16" spans="1:34" ht="23.25" customHeight="1">
      <c r="A16" s="3"/>
      <c r="B16" s="112"/>
      <c r="C16" s="147" t="s">
        <v>48</v>
      </c>
      <c r="D16" s="148"/>
      <c r="E16" s="148"/>
      <c r="F16" s="152"/>
      <c r="G16" s="137"/>
      <c r="H16" s="138" t="s">
        <v>43</v>
      </c>
      <c r="I16" s="139">
        <f>$F$16/5</f>
        <v>0</v>
      </c>
      <c r="J16" s="140">
        <f>$F$16/5</f>
        <v>0</v>
      </c>
      <c r="K16" s="140">
        <f>$F$16/5</f>
        <v>0</v>
      </c>
      <c r="L16" s="140">
        <f>$F$16/5</f>
        <v>0</v>
      </c>
      <c r="M16" s="141">
        <f>$F$16/5</f>
        <v>0</v>
      </c>
      <c r="N16" s="142" t="s">
        <v>45</v>
      </c>
      <c r="O16" s="150"/>
      <c r="P16" s="23"/>
      <c r="Q16" s="156"/>
      <c r="R16" s="156"/>
      <c r="V16" s="3"/>
      <c r="W16" s="3"/>
      <c r="X16" s="3"/>
      <c r="Y16" s="3"/>
      <c r="Z16" s="3"/>
      <c r="AA16" s="3"/>
      <c r="AB16" s="3"/>
      <c r="AC16" s="3"/>
      <c r="AD16" s="3"/>
      <c r="AE16" s="3"/>
      <c r="AF16" s="3"/>
      <c r="AG16" s="3"/>
      <c r="AH16" s="3"/>
    </row>
    <row r="17" spans="1:252" ht="22.5" customHeight="1">
      <c r="A17" s="3"/>
      <c r="B17" s="112"/>
      <c r="C17" s="143" t="s">
        <v>47</v>
      </c>
      <c r="D17" s="144"/>
      <c r="E17" s="279"/>
      <c r="F17" s="279"/>
      <c r="G17" s="153" t="b">
        <f>IF($E$17&lt;&gt;0,TRUE(),FALSE())</f>
        <v>0</v>
      </c>
      <c r="H17" s="145" t="s">
        <v>44</v>
      </c>
      <c r="I17" s="108"/>
      <c r="J17" s="109"/>
      <c r="K17" s="109"/>
      <c r="L17" s="109"/>
      <c r="M17" s="110"/>
      <c r="N17" s="146">
        <f>SUM(I17:M17)</f>
        <v>0</v>
      </c>
      <c r="O17" s="150"/>
      <c r="P17" s="23"/>
      <c r="Q17" s="156"/>
      <c r="R17" s="156"/>
      <c r="V17" s="3"/>
      <c r="W17" s="3"/>
      <c r="X17" s="3"/>
      <c r="Y17" s="3"/>
      <c r="Z17" s="3"/>
      <c r="AA17" s="3"/>
      <c r="AB17" s="3"/>
      <c r="AC17" s="3"/>
      <c r="AD17" s="3"/>
      <c r="AE17" s="3"/>
      <c r="AF17" s="3"/>
      <c r="AG17" s="3"/>
      <c r="AH17" s="3"/>
    </row>
    <row r="18" spans="1:252" ht="15">
      <c r="A18" s="3"/>
      <c r="B18" s="85"/>
      <c r="C18" s="86"/>
      <c r="D18" s="87"/>
      <c r="E18" s="87"/>
      <c r="F18" s="87"/>
      <c r="G18" s="87"/>
      <c r="H18" s="87"/>
      <c r="I18" s="87"/>
      <c r="J18" s="87"/>
      <c r="K18" s="9"/>
      <c r="L18" s="9"/>
      <c r="M18" s="9"/>
      <c r="N18" s="9"/>
      <c r="O18" s="9"/>
      <c r="P18" s="28"/>
      <c r="Q18" s="156"/>
      <c r="R18" s="156"/>
      <c r="V18" s="3"/>
      <c r="W18" s="3"/>
      <c r="X18" s="3"/>
      <c r="Y18" s="3"/>
      <c r="Z18" s="3"/>
      <c r="AA18" s="3"/>
      <c r="AB18" s="3"/>
      <c r="AC18" s="3"/>
      <c r="AD18" s="3"/>
      <c r="AE18" s="3"/>
      <c r="AF18" s="3"/>
      <c r="AG18" s="3"/>
      <c r="AH18" s="3"/>
    </row>
    <row r="19" spans="1:252" ht="15.75" thickBot="1">
      <c r="A19" s="29"/>
      <c r="B19" s="164"/>
      <c r="C19" s="68"/>
      <c r="D19" s="68"/>
      <c r="E19" s="68"/>
      <c r="F19" s="68"/>
      <c r="G19" s="68"/>
      <c r="H19" s="68"/>
      <c r="I19" s="68"/>
      <c r="J19" s="68"/>
      <c r="K19" s="68"/>
      <c r="L19" s="68"/>
      <c r="M19" s="68"/>
      <c r="N19" s="68"/>
      <c r="O19" s="68"/>
      <c r="P19" s="68"/>
      <c r="Q19" s="157"/>
      <c r="R19" s="157"/>
      <c r="S19" s="68"/>
      <c r="T19" s="68"/>
      <c r="U19" s="68"/>
    </row>
    <row r="20" spans="1:252" s="4" customFormat="1" ht="18.75" customHeight="1">
      <c r="A20" s="30"/>
      <c r="B20" s="202"/>
      <c r="C20" s="264" t="s">
        <v>29</v>
      </c>
      <c r="D20" s="265"/>
      <c r="E20" s="265"/>
      <c r="F20" s="266" t="s">
        <v>67</v>
      </c>
      <c r="G20" s="267"/>
      <c r="H20" s="268"/>
      <c r="I20" s="269" t="s">
        <v>25</v>
      </c>
      <c r="J20" s="269"/>
      <c r="K20" s="270"/>
      <c r="L20" s="271"/>
      <c r="M20" s="269"/>
      <c r="N20" s="269"/>
      <c r="O20" s="269"/>
      <c r="P20" s="270"/>
      <c r="Q20" s="158"/>
      <c r="R20" s="158"/>
      <c r="S20" s="70" t="s">
        <v>22</v>
      </c>
      <c r="T20" s="70" t="s">
        <v>23</v>
      </c>
      <c r="U20" s="70" t="s">
        <v>23</v>
      </c>
      <c r="V20" s="71" t="s">
        <v>24</v>
      </c>
      <c r="W20" s="71" t="s">
        <v>22</v>
      </c>
      <c r="X20" s="71" t="s">
        <v>22</v>
      </c>
      <c r="Y20" s="71"/>
      <c r="Z20" s="71"/>
      <c r="AA20" s="70"/>
      <c r="AB20" s="70"/>
      <c r="AC20" s="71"/>
      <c r="AD20" s="97"/>
      <c r="AE20" s="97"/>
      <c r="AF20" s="98"/>
      <c r="AG20" s="98"/>
      <c r="AH20" s="98"/>
    </row>
    <row r="21" spans="1:252" ht="18.75" customHeight="1">
      <c r="A21" s="31">
        <f>DATEVALUE(I2&amp;K2)</f>
        <v>42856</v>
      </c>
      <c r="B21" s="203" t="s">
        <v>0</v>
      </c>
      <c r="C21" s="1" t="s">
        <v>8</v>
      </c>
      <c r="D21" s="5"/>
      <c r="E21" s="204" t="s">
        <v>18</v>
      </c>
      <c r="F21" s="173" t="s">
        <v>1</v>
      </c>
      <c r="G21" s="174" t="s">
        <v>6</v>
      </c>
      <c r="H21" s="175" t="s">
        <v>2</v>
      </c>
      <c r="I21" s="204" t="s">
        <v>17</v>
      </c>
      <c r="J21" s="2" t="s">
        <v>21</v>
      </c>
      <c r="K21" s="204" t="s">
        <v>19</v>
      </c>
      <c r="L21" s="275" t="s">
        <v>71</v>
      </c>
      <c r="M21" s="276"/>
      <c r="N21" s="276"/>
      <c r="O21" s="276"/>
      <c r="P21" s="277"/>
      <c r="Q21" s="159"/>
      <c r="R21" s="159"/>
      <c r="S21" s="72" t="s">
        <v>11</v>
      </c>
      <c r="T21" s="72" t="s">
        <v>1</v>
      </c>
      <c r="U21" s="72" t="s">
        <v>6</v>
      </c>
      <c r="V21" s="73" t="s">
        <v>2</v>
      </c>
      <c r="W21" s="73" t="s">
        <v>20</v>
      </c>
      <c r="X21" s="74" t="s">
        <v>21</v>
      </c>
      <c r="Y21" s="73" t="s">
        <v>19</v>
      </c>
      <c r="Z21" s="75"/>
    </row>
    <row r="22" spans="1:252" ht="20.25" customHeight="1">
      <c r="A22" s="32" t="str">
        <f t="shared" ref="A22:A52" si="0">TEXT(B22,"TTTT")</f>
        <v>Montag</v>
      </c>
      <c r="B22" s="33">
        <f>($A$21+ROW(B1)-1)*(MONTH($A$21+1)=MONTH($A$21))</f>
        <v>42856</v>
      </c>
      <c r="C22" s="185" t="str">
        <f>IF(OR(A22="Samstag",A22="Sonntag"),"",IF(COUNTIF(Übersicht!C$16:C$30,B22)&gt;0,"BA",""))</f>
        <v>BA</v>
      </c>
      <c r="D22" s="34"/>
      <c r="E22" s="172" t="str">
        <f>IF(OR(A22="Samstag",A22="Sonntag",C22="BA"),"",
IF(C22="SV",D22,
IF(OR($E$17="",B22&lt;$E$17),IF($N$13=0,HLOOKUP($A22,$I$11:$M$12,2,FALSE),IF($N$13=$F$12,HLOOKUP($A22,$I$11:$M$13,3,FALSE),"FEHLER")),
IF($N$17=0,HLOOKUP($A22,$I$15:$M$16,2,FALSE),IF($N$17=$F$16,HLOOKUP($A22,$I$15:$M$17,3,FALSE),"FEHLER")))))</f>
        <v/>
      </c>
      <c r="F22" s="195"/>
      <c r="G22" s="196"/>
      <c r="H22" s="197"/>
      <c r="I22" s="38">
        <f t="shared" ref="I22:I52" si="1">IF(OR(C22="K",C22="U",C22="F"),E22,IF(C22="SU",IF(H22="",D22,((H22-F22)-G22)+D22),IF(AND(H22="",E22=""),0,((H22-F22)-G22)*24)))</f>
        <v>0</v>
      </c>
      <c r="J22" s="35">
        <f>IF(E22="Fehler",0,IF(E22="",I22,I22-E22))</f>
        <v>0</v>
      </c>
      <c r="K22" s="36">
        <f>M7+J22</f>
        <v>2.2499999999999982</v>
      </c>
      <c r="L22" s="251"/>
      <c r="M22" s="252"/>
      <c r="N22" s="252"/>
      <c r="O22" s="252"/>
      <c r="P22" s="253"/>
      <c r="Q22" s="89"/>
      <c r="R22" s="165"/>
      <c r="S22" s="76"/>
      <c r="T22" s="76"/>
      <c r="U22" s="76"/>
      <c r="V22" s="76"/>
      <c r="W22" s="76"/>
      <c r="X22" s="76"/>
      <c r="Y22" s="76"/>
      <c r="Z22" s="76"/>
      <c r="AB22" s="166"/>
      <c r="AE22" s="99"/>
    </row>
    <row r="23" spans="1:252" s="96" customFormat="1" ht="20.25" customHeight="1">
      <c r="A23" s="32" t="str">
        <f t="shared" si="0"/>
        <v>Dienstag</v>
      </c>
      <c r="B23" s="37">
        <f t="shared" ref="B23:B52" si="2">($A$21+ROW(B2)-1)*(MONTH(B22+1)=MONTH($A$21))</f>
        <v>42857</v>
      </c>
      <c r="C23" s="185" t="str">
        <f>IF(OR(A23="Samstag",A23="Sonntag"),"",IF(COUNTIF(Übersicht!C$16:C$30,B23)&gt;0,"BA",""))</f>
        <v/>
      </c>
      <c r="D23" s="38"/>
      <c r="E23" s="172">
        <f>IF(OR(A23="Samstag",A23="Sonntag",C23="BA"),"",
IF(C23="SV",D23,
IF(OR($E$17="",B23&lt;$E$17),IF($N$13=0,HLOOKUP($A23,$I$11:$M$12,2,FALSE),IF($N$13=$F$12,HLOOKUP($A23,$I$11:$M$13,3,FALSE),"FEHLER")),
IF($N$17=0,HLOOKUP($A23,$I$15:$M$16,2,FALSE),IF($N$17=$F$16,HLOOKUP($A23,$I$15:$M$17,3,FALSE),"FEHLER")))))</f>
        <v>2</v>
      </c>
      <c r="F23" s="176"/>
      <c r="G23" s="177"/>
      <c r="H23" s="178"/>
      <c r="I23" s="38">
        <f t="shared" si="1"/>
        <v>0</v>
      </c>
      <c r="J23" s="35">
        <f t="shared" ref="J23:J52" si="3">IF(E23="Fehler",0,IF(E23="",I23,I23-E23))</f>
        <v>-2</v>
      </c>
      <c r="K23" s="36">
        <f>SUM(K22,J23)</f>
        <v>0.24999999999999822</v>
      </c>
      <c r="L23" s="251"/>
      <c r="M23" s="252"/>
      <c r="N23" s="252"/>
      <c r="O23" s="252"/>
      <c r="P23" s="253"/>
      <c r="Q23" s="89"/>
      <c r="R23" s="165"/>
      <c r="S23" s="76"/>
      <c r="T23" s="76"/>
      <c r="U23" s="76"/>
      <c r="V23" s="76"/>
      <c r="W23" s="76"/>
      <c r="X23" s="76"/>
      <c r="Y23" s="76"/>
      <c r="Z23" s="76"/>
      <c r="AA23" s="68"/>
      <c r="AB23" s="166"/>
      <c r="AC23" s="6"/>
      <c r="AD23" s="95"/>
      <c r="AE23" s="99"/>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row>
    <row r="24" spans="1:252" s="96" customFormat="1" ht="20.25" customHeight="1">
      <c r="A24" s="32" t="str">
        <f t="shared" si="0"/>
        <v>Mittwoch</v>
      </c>
      <c r="B24" s="37">
        <f t="shared" si="2"/>
        <v>42858</v>
      </c>
      <c r="C24" s="185" t="str">
        <f>IF(OR(A24="Samstag",A24="Sonntag"),"",IF(COUNTIF(Übersicht!C$16:C$30,B24)&gt;0,"BA",""))</f>
        <v/>
      </c>
      <c r="D24" s="38"/>
      <c r="E24" s="172">
        <f t="shared" ref="E24:E52" si="4">IF(OR(A24="Samstag",A24="Sonntag",C24="BA"),"",
IF(C24="SV",D24,
IF(OR($E$17="",B24&lt;$E$17),IF($N$13=0,HLOOKUP($A24,$I$11:$M$12,2,FALSE),IF($N$13=$F$12,HLOOKUP($A24,$I$11:$M$13,3,FALSE),"FEHLER")),
IF($N$17=0,HLOOKUP($A24,$I$15:$M$16,2,FALSE),IF($N$17=$F$16,HLOOKUP($A24,$I$15:$M$17,3,FALSE),"FEHLER")))))</f>
        <v>2</v>
      </c>
      <c r="F24" s="176">
        <v>0.38541666666666669</v>
      </c>
      <c r="G24" s="177">
        <v>2.0833333333333332E-2</v>
      </c>
      <c r="H24" s="178">
        <v>0.6875</v>
      </c>
      <c r="I24" s="38">
        <f t="shared" si="1"/>
        <v>6.75</v>
      </c>
      <c r="J24" s="35">
        <f t="shared" si="3"/>
        <v>4.75</v>
      </c>
      <c r="K24" s="36">
        <f t="shared" ref="K24:K52" si="5">SUM(K23,J24)</f>
        <v>4.9999999999999982</v>
      </c>
      <c r="L24" s="251"/>
      <c r="M24" s="252"/>
      <c r="N24" s="252"/>
      <c r="O24" s="252"/>
      <c r="P24" s="253"/>
      <c r="Q24" s="89"/>
      <c r="R24" s="165"/>
      <c r="S24" s="76"/>
      <c r="T24" s="76"/>
      <c r="U24" s="76"/>
      <c r="V24" s="76"/>
      <c r="W24" s="76"/>
      <c r="X24" s="76"/>
      <c r="Y24" s="76"/>
      <c r="Z24" s="76"/>
      <c r="AA24" s="68"/>
      <c r="AB24" s="166"/>
      <c r="AC24" s="6"/>
      <c r="AD24" s="95"/>
      <c r="AE24" s="99"/>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row>
    <row r="25" spans="1:252" s="96" customFormat="1" ht="20.25" customHeight="1">
      <c r="A25" s="32" t="str">
        <f t="shared" si="0"/>
        <v>Donnerstag</v>
      </c>
      <c r="B25" s="37">
        <f t="shared" si="2"/>
        <v>42859</v>
      </c>
      <c r="C25" s="185" t="str">
        <f>IF(OR(A25="Samstag",A25="Sonntag"),"",IF(COUNTIF(Übersicht!C$16:C$30,B25)&gt;0,"BA",""))</f>
        <v/>
      </c>
      <c r="D25" s="38"/>
      <c r="E25" s="172">
        <f t="shared" si="4"/>
        <v>2</v>
      </c>
      <c r="F25" s="176"/>
      <c r="G25" s="177"/>
      <c r="H25" s="178"/>
      <c r="I25" s="38">
        <f t="shared" si="1"/>
        <v>0</v>
      </c>
      <c r="J25" s="35">
        <f t="shared" si="3"/>
        <v>-2</v>
      </c>
      <c r="K25" s="36">
        <f t="shared" si="5"/>
        <v>2.9999999999999982</v>
      </c>
      <c r="L25" s="251"/>
      <c r="M25" s="252"/>
      <c r="N25" s="252"/>
      <c r="O25" s="252"/>
      <c r="P25" s="253"/>
      <c r="Q25" s="89"/>
      <c r="R25" s="165"/>
      <c r="S25" s="76"/>
      <c r="T25" s="76"/>
      <c r="U25" s="76"/>
      <c r="V25" s="76"/>
      <c r="W25" s="76"/>
      <c r="X25" s="76"/>
      <c r="Y25" s="76"/>
      <c r="Z25" s="76"/>
      <c r="AA25" s="68"/>
      <c r="AB25" s="166"/>
      <c r="AC25" s="6"/>
      <c r="AD25" s="95"/>
      <c r="AE25" s="99"/>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row>
    <row r="26" spans="1:252" s="96" customFormat="1" ht="20.25" customHeight="1">
      <c r="A26" s="32" t="str">
        <f t="shared" si="0"/>
        <v>Freitag</v>
      </c>
      <c r="B26" s="37">
        <f t="shared" si="2"/>
        <v>42860</v>
      </c>
      <c r="C26" s="185" t="str">
        <f>IF(OR(A26="Samstag",A26="Sonntag"),"",IF(COUNTIF(Übersicht!C$16:C$30,B26)&gt;0,"BA",""))</f>
        <v/>
      </c>
      <c r="D26" s="38"/>
      <c r="E26" s="172">
        <f t="shared" si="4"/>
        <v>2</v>
      </c>
      <c r="F26" s="176">
        <v>0.38541666666666669</v>
      </c>
      <c r="G26" s="177">
        <v>0</v>
      </c>
      <c r="H26" s="178">
        <v>0.63541666666666663</v>
      </c>
      <c r="I26" s="38">
        <f t="shared" si="1"/>
        <v>5.9999999999999982</v>
      </c>
      <c r="J26" s="35">
        <f t="shared" si="3"/>
        <v>3.9999999999999982</v>
      </c>
      <c r="K26" s="36">
        <f t="shared" si="5"/>
        <v>6.9999999999999964</v>
      </c>
      <c r="L26" s="251"/>
      <c r="M26" s="252"/>
      <c r="N26" s="252"/>
      <c r="O26" s="252"/>
      <c r="P26" s="253"/>
      <c r="Q26" s="89"/>
      <c r="R26" s="165"/>
      <c r="S26" s="76"/>
      <c r="T26" s="76"/>
      <c r="U26" s="76"/>
      <c r="V26" s="76"/>
      <c r="W26" s="76"/>
      <c r="X26" s="76"/>
      <c r="Y26" s="76"/>
      <c r="Z26" s="76"/>
      <c r="AA26" s="68"/>
      <c r="AB26" s="166"/>
      <c r="AC26" s="6"/>
      <c r="AD26" s="95"/>
      <c r="AE26" s="99"/>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row>
    <row r="27" spans="1:252" s="96" customFormat="1" ht="20.25" customHeight="1">
      <c r="A27" s="32" t="str">
        <f t="shared" si="0"/>
        <v>Samstag</v>
      </c>
      <c r="B27" s="37">
        <f t="shared" si="2"/>
        <v>42861</v>
      </c>
      <c r="C27" s="185" t="str">
        <f>IF(OR(A27="Samstag",A27="Sonntag"),"",IF(COUNTIF(Übersicht!C$16:C$30,B27)&gt;0,"BA",""))</f>
        <v/>
      </c>
      <c r="D27" s="38"/>
      <c r="E27" s="172" t="str">
        <f t="shared" si="4"/>
        <v/>
      </c>
      <c r="F27" s="176"/>
      <c r="G27" s="177"/>
      <c r="H27" s="178"/>
      <c r="I27" s="38">
        <f t="shared" si="1"/>
        <v>0</v>
      </c>
      <c r="J27" s="35">
        <f t="shared" si="3"/>
        <v>0</v>
      </c>
      <c r="K27" s="36">
        <f>SUM(K26,J27)</f>
        <v>6.9999999999999964</v>
      </c>
      <c r="L27" s="251"/>
      <c r="M27" s="252"/>
      <c r="N27" s="252"/>
      <c r="O27" s="252"/>
      <c r="P27" s="253"/>
      <c r="Q27" s="89"/>
      <c r="R27" s="165"/>
      <c r="S27" s="76"/>
      <c r="T27" s="76"/>
      <c r="U27" s="76"/>
      <c r="V27" s="76"/>
      <c r="W27" s="76"/>
      <c r="X27" s="76"/>
      <c r="Y27" s="76"/>
      <c r="Z27" s="76"/>
      <c r="AA27" s="68"/>
      <c r="AB27" s="166"/>
      <c r="AC27" s="6"/>
      <c r="AD27" s="95"/>
      <c r="AE27" s="99"/>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row>
    <row r="28" spans="1:252" s="96" customFormat="1" ht="20.25" customHeight="1">
      <c r="A28" s="32" t="str">
        <f t="shared" si="0"/>
        <v>Sonntag</v>
      </c>
      <c r="B28" s="37">
        <f t="shared" si="2"/>
        <v>42862</v>
      </c>
      <c r="C28" s="185" t="str">
        <f>IF(OR(A28="Samstag",A28="Sonntag"),"",IF(COUNTIF(Übersicht!C$16:C$30,B28)&gt;0,"BA",""))</f>
        <v/>
      </c>
      <c r="D28" s="38"/>
      <c r="E28" s="172" t="str">
        <f t="shared" si="4"/>
        <v/>
      </c>
      <c r="F28" s="176"/>
      <c r="G28" s="177"/>
      <c r="H28" s="178"/>
      <c r="I28" s="38">
        <f t="shared" si="1"/>
        <v>0</v>
      </c>
      <c r="J28" s="35">
        <f t="shared" si="3"/>
        <v>0</v>
      </c>
      <c r="K28" s="36">
        <f t="shared" si="5"/>
        <v>6.9999999999999964</v>
      </c>
      <c r="L28" s="251"/>
      <c r="M28" s="252"/>
      <c r="N28" s="252"/>
      <c r="O28" s="252"/>
      <c r="P28" s="253"/>
      <c r="Q28" s="89"/>
      <c r="R28" s="165"/>
      <c r="S28" s="76"/>
      <c r="T28" s="76"/>
      <c r="U28" s="76"/>
      <c r="V28" s="76"/>
      <c r="W28" s="76"/>
      <c r="X28" s="76"/>
      <c r="Y28" s="76"/>
      <c r="Z28" s="76"/>
      <c r="AA28" s="68"/>
      <c r="AB28" s="166"/>
      <c r="AC28" s="6"/>
      <c r="AD28" s="95"/>
      <c r="AE28" s="99"/>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row>
    <row r="29" spans="1:252" s="96" customFormat="1" ht="20.25" customHeight="1">
      <c r="A29" s="32" t="str">
        <f t="shared" si="0"/>
        <v>Montag</v>
      </c>
      <c r="B29" s="37">
        <f t="shared" si="2"/>
        <v>42863</v>
      </c>
      <c r="C29" s="185" t="str">
        <f>IF(OR(A29="Samstag",A29="Sonntag"),"",IF(COUNTIF(Übersicht!C$16:C$30,B29)&gt;0,"BA",""))</f>
        <v/>
      </c>
      <c r="D29" s="38"/>
      <c r="E29" s="172">
        <f t="shared" si="4"/>
        <v>2</v>
      </c>
      <c r="F29" s="176"/>
      <c r="G29" s="177"/>
      <c r="H29" s="178"/>
      <c r="I29" s="38">
        <f t="shared" si="1"/>
        <v>0</v>
      </c>
      <c r="J29" s="35">
        <f t="shared" si="3"/>
        <v>-2</v>
      </c>
      <c r="K29" s="36">
        <f t="shared" si="5"/>
        <v>4.9999999999999964</v>
      </c>
      <c r="L29" s="251"/>
      <c r="M29" s="252"/>
      <c r="N29" s="252"/>
      <c r="O29" s="252"/>
      <c r="P29" s="253"/>
      <c r="Q29" s="89"/>
      <c r="R29" s="165"/>
      <c r="S29" s="76"/>
      <c r="T29" s="76"/>
      <c r="U29" s="76"/>
      <c r="V29" s="76"/>
      <c r="W29" s="76"/>
      <c r="X29" s="76"/>
      <c r="Y29" s="76"/>
      <c r="Z29" s="76"/>
      <c r="AA29" s="68"/>
      <c r="AB29" s="166"/>
      <c r="AC29" s="6"/>
      <c r="AD29" s="95"/>
      <c r="AE29" s="99"/>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row>
    <row r="30" spans="1:252" s="96" customFormat="1" ht="20.25" customHeight="1">
      <c r="A30" s="32" t="str">
        <f t="shared" si="0"/>
        <v>Dienstag</v>
      </c>
      <c r="B30" s="37">
        <f t="shared" si="2"/>
        <v>42864</v>
      </c>
      <c r="C30" s="185" t="str">
        <f>IF(OR(A30="Samstag",A30="Sonntag"),"",IF(COUNTIF(Übersicht!C$16:C$30,B30)&gt;0,"BA",""))</f>
        <v/>
      </c>
      <c r="D30" s="38"/>
      <c r="E30" s="172">
        <f t="shared" si="4"/>
        <v>2</v>
      </c>
      <c r="F30" s="176"/>
      <c r="G30" s="177"/>
      <c r="H30" s="178"/>
      <c r="I30" s="38">
        <f t="shared" si="1"/>
        <v>0</v>
      </c>
      <c r="J30" s="35">
        <f t="shared" si="3"/>
        <v>-2</v>
      </c>
      <c r="K30" s="36">
        <f t="shared" si="5"/>
        <v>2.9999999999999964</v>
      </c>
      <c r="L30" s="251"/>
      <c r="M30" s="252"/>
      <c r="N30" s="252"/>
      <c r="O30" s="252"/>
      <c r="P30" s="253"/>
      <c r="Q30" s="89"/>
      <c r="R30" s="165"/>
      <c r="S30" s="76"/>
      <c r="T30" s="76"/>
      <c r="U30" s="76"/>
      <c r="V30" s="76"/>
      <c r="W30" s="76"/>
      <c r="X30" s="76"/>
      <c r="Y30" s="76"/>
      <c r="Z30" s="76"/>
      <c r="AA30" s="68"/>
      <c r="AB30" s="166"/>
      <c r="AC30" s="6"/>
      <c r="AD30" s="95"/>
      <c r="AE30" s="99"/>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row>
    <row r="31" spans="1:252" s="96" customFormat="1" ht="20.25" customHeight="1">
      <c r="A31" s="32" t="str">
        <f t="shared" si="0"/>
        <v>Mittwoch</v>
      </c>
      <c r="B31" s="37">
        <f t="shared" si="2"/>
        <v>42865</v>
      </c>
      <c r="C31" s="185" t="str">
        <f>IF(OR(A31="Samstag",A31="Sonntag"),"",IF(COUNTIF(Übersicht!C$16:C$30,B31)&gt;0,"BA",""))</f>
        <v/>
      </c>
      <c r="D31" s="38"/>
      <c r="E31" s="172">
        <f t="shared" si="4"/>
        <v>2</v>
      </c>
      <c r="F31" s="176">
        <v>0.36458333333333331</v>
      </c>
      <c r="G31" s="177">
        <v>0</v>
      </c>
      <c r="H31" s="178">
        <v>0.59375</v>
      </c>
      <c r="I31" s="38">
        <f t="shared" si="1"/>
        <v>5.5</v>
      </c>
      <c r="J31" s="35">
        <f t="shared" si="3"/>
        <v>3.5</v>
      </c>
      <c r="K31" s="36">
        <f t="shared" si="5"/>
        <v>6.4999999999999964</v>
      </c>
      <c r="L31" s="251"/>
      <c r="M31" s="252"/>
      <c r="N31" s="252"/>
      <c r="O31" s="252"/>
      <c r="P31" s="253"/>
      <c r="Q31" s="89"/>
      <c r="R31" s="165"/>
      <c r="S31" s="76"/>
      <c r="T31" s="76"/>
      <c r="U31" s="76"/>
      <c r="V31" s="76"/>
      <c r="W31" s="76"/>
      <c r="X31" s="76"/>
      <c r="Y31" s="76"/>
      <c r="Z31" s="76"/>
      <c r="AA31" s="68"/>
      <c r="AB31" s="166"/>
      <c r="AC31" s="6"/>
      <c r="AD31" s="95"/>
      <c r="AE31" s="99"/>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row>
    <row r="32" spans="1:252" s="96" customFormat="1" ht="20.25" customHeight="1">
      <c r="A32" s="32" t="str">
        <f t="shared" si="0"/>
        <v>Donnerstag</v>
      </c>
      <c r="B32" s="37">
        <f t="shared" si="2"/>
        <v>42866</v>
      </c>
      <c r="C32" s="185" t="str">
        <f>IF(OR(A32="Samstag",A32="Sonntag"),"",IF(COUNTIF(Übersicht!C$16:C$30,B32)&gt;0,"BA",""))</f>
        <v/>
      </c>
      <c r="D32" s="38"/>
      <c r="E32" s="172">
        <f t="shared" si="4"/>
        <v>2</v>
      </c>
      <c r="F32" s="176"/>
      <c r="G32" s="177"/>
      <c r="H32" s="178"/>
      <c r="I32" s="38">
        <f t="shared" si="1"/>
        <v>0</v>
      </c>
      <c r="J32" s="35">
        <f t="shared" si="3"/>
        <v>-2</v>
      </c>
      <c r="K32" s="36">
        <f t="shared" si="5"/>
        <v>4.4999999999999964</v>
      </c>
      <c r="L32" s="251"/>
      <c r="M32" s="252"/>
      <c r="N32" s="252"/>
      <c r="O32" s="252"/>
      <c r="P32" s="253"/>
      <c r="Q32" s="89"/>
      <c r="R32" s="165"/>
      <c r="S32" s="76"/>
      <c r="T32" s="76"/>
      <c r="U32" s="76"/>
      <c r="V32" s="76"/>
      <c r="W32" s="76"/>
      <c r="X32" s="76"/>
      <c r="Y32" s="76"/>
      <c r="Z32" s="76"/>
      <c r="AA32" s="68"/>
      <c r="AB32" s="166"/>
      <c r="AC32" s="6"/>
      <c r="AD32" s="95"/>
      <c r="AE32" s="99"/>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row>
    <row r="33" spans="1:252" s="96" customFormat="1" ht="20.25" customHeight="1">
      <c r="A33" s="32" t="str">
        <f t="shared" si="0"/>
        <v>Freitag</v>
      </c>
      <c r="B33" s="37">
        <f t="shared" si="2"/>
        <v>42867</v>
      </c>
      <c r="C33" s="185" t="str">
        <f>IF(OR(A33="Samstag",A33="Sonntag"),"",IF(COUNTIF(Übersicht!C$16:C$30,B33)&gt;0,"BA",""))</f>
        <v/>
      </c>
      <c r="D33" s="38"/>
      <c r="E33" s="172">
        <f t="shared" si="4"/>
        <v>2</v>
      </c>
      <c r="F33" s="176">
        <v>0.36458333333333331</v>
      </c>
      <c r="G33" s="177">
        <v>2.0833333333333332E-2</v>
      </c>
      <c r="H33" s="178">
        <v>0.66666666666666663</v>
      </c>
      <c r="I33" s="38">
        <f t="shared" si="1"/>
        <v>6.75</v>
      </c>
      <c r="J33" s="35">
        <f t="shared" si="3"/>
        <v>4.75</v>
      </c>
      <c r="K33" s="36">
        <f t="shared" si="5"/>
        <v>9.2499999999999964</v>
      </c>
      <c r="L33" s="251"/>
      <c r="M33" s="252"/>
      <c r="N33" s="252"/>
      <c r="O33" s="252"/>
      <c r="P33" s="253"/>
      <c r="Q33" s="89"/>
      <c r="R33" s="165"/>
      <c r="S33" s="76"/>
      <c r="T33" s="76"/>
      <c r="U33" s="76"/>
      <c r="V33" s="76"/>
      <c r="W33" s="76"/>
      <c r="X33" s="76"/>
      <c r="Y33" s="76"/>
      <c r="Z33" s="76"/>
      <c r="AA33" s="68"/>
      <c r="AB33" s="166"/>
      <c r="AC33" s="6"/>
      <c r="AD33" s="95"/>
      <c r="AE33" s="99"/>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row>
    <row r="34" spans="1:252" s="96" customFormat="1" ht="20.25" customHeight="1">
      <c r="A34" s="32" t="str">
        <f t="shared" si="0"/>
        <v>Samstag</v>
      </c>
      <c r="B34" s="37">
        <f t="shared" si="2"/>
        <v>42868</v>
      </c>
      <c r="C34" s="185" t="str">
        <f>IF(OR(A34="Samstag",A34="Sonntag"),"",IF(COUNTIF(Übersicht!C$16:C$30,B34)&gt;0,"BA",""))</f>
        <v/>
      </c>
      <c r="D34" s="38"/>
      <c r="E34" s="172" t="str">
        <f t="shared" si="4"/>
        <v/>
      </c>
      <c r="F34" s="176"/>
      <c r="G34" s="177"/>
      <c r="H34" s="178"/>
      <c r="I34" s="38">
        <f t="shared" si="1"/>
        <v>0</v>
      </c>
      <c r="J34" s="35">
        <f t="shared" si="3"/>
        <v>0</v>
      </c>
      <c r="K34" s="36">
        <f t="shared" si="5"/>
        <v>9.2499999999999964</v>
      </c>
      <c r="L34" s="251"/>
      <c r="M34" s="252"/>
      <c r="N34" s="252"/>
      <c r="O34" s="252"/>
      <c r="P34" s="253"/>
      <c r="Q34" s="89"/>
      <c r="R34" s="165"/>
      <c r="S34" s="76"/>
      <c r="T34" s="76"/>
      <c r="U34" s="76"/>
      <c r="V34" s="76"/>
      <c r="W34" s="76"/>
      <c r="X34" s="76"/>
      <c r="Y34" s="76"/>
      <c r="Z34" s="76"/>
      <c r="AA34" s="68"/>
      <c r="AB34" s="166"/>
      <c r="AC34" s="6"/>
      <c r="AD34" s="95"/>
      <c r="AE34" s="99"/>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row>
    <row r="35" spans="1:252" s="96" customFormat="1" ht="20.25" customHeight="1">
      <c r="A35" s="32" t="str">
        <f t="shared" si="0"/>
        <v>Sonntag</v>
      </c>
      <c r="B35" s="37">
        <f t="shared" si="2"/>
        <v>42869</v>
      </c>
      <c r="C35" s="185" t="str">
        <f>IF(OR(A35="Samstag",A35="Sonntag"),"",IF(COUNTIF(Übersicht!C$16:C$30,B35)&gt;0,"BA",""))</f>
        <v/>
      </c>
      <c r="D35" s="38"/>
      <c r="E35" s="172" t="str">
        <f t="shared" si="4"/>
        <v/>
      </c>
      <c r="F35" s="176"/>
      <c r="G35" s="177"/>
      <c r="H35" s="178"/>
      <c r="I35" s="38">
        <f t="shared" si="1"/>
        <v>0</v>
      </c>
      <c r="J35" s="35">
        <f t="shared" si="3"/>
        <v>0</v>
      </c>
      <c r="K35" s="36">
        <f t="shared" si="5"/>
        <v>9.2499999999999964</v>
      </c>
      <c r="L35" s="251"/>
      <c r="M35" s="252"/>
      <c r="N35" s="252"/>
      <c r="O35" s="252"/>
      <c r="P35" s="253"/>
      <c r="Q35" s="89"/>
      <c r="R35" s="165"/>
      <c r="S35" s="76"/>
      <c r="T35" s="76"/>
      <c r="U35" s="76"/>
      <c r="V35" s="76"/>
      <c r="W35" s="76"/>
      <c r="X35" s="76"/>
      <c r="Y35" s="76"/>
      <c r="Z35" s="76"/>
      <c r="AA35" s="68"/>
      <c r="AB35" s="166"/>
      <c r="AC35" s="6"/>
      <c r="AD35" s="95"/>
      <c r="AE35" s="99"/>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row>
    <row r="36" spans="1:252" s="96" customFormat="1" ht="20.25" customHeight="1">
      <c r="A36" s="32" t="str">
        <f t="shared" si="0"/>
        <v>Montag</v>
      </c>
      <c r="B36" s="37">
        <f t="shared" si="2"/>
        <v>42870</v>
      </c>
      <c r="C36" s="185" t="str">
        <f>IF(OR(A36="Samstag",A36="Sonntag"),"",IF(COUNTIF(Übersicht!C$16:C$30,B36)&gt;0,"BA",""))</f>
        <v/>
      </c>
      <c r="D36" s="38"/>
      <c r="E36" s="172">
        <f t="shared" si="4"/>
        <v>2</v>
      </c>
      <c r="F36" s="176"/>
      <c r="G36" s="177"/>
      <c r="H36" s="178"/>
      <c r="I36" s="38">
        <f t="shared" si="1"/>
        <v>0</v>
      </c>
      <c r="J36" s="35">
        <f t="shared" si="3"/>
        <v>-2</v>
      </c>
      <c r="K36" s="36">
        <f t="shared" si="5"/>
        <v>7.2499999999999964</v>
      </c>
      <c r="L36" s="251"/>
      <c r="M36" s="252"/>
      <c r="N36" s="252"/>
      <c r="O36" s="252"/>
      <c r="P36" s="253"/>
      <c r="Q36" s="89"/>
      <c r="R36" s="165"/>
      <c r="S36" s="76"/>
      <c r="T36" s="76"/>
      <c r="U36" s="76"/>
      <c r="V36" s="76"/>
      <c r="W36" s="76"/>
      <c r="X36" s="76"/>
      <c r="Y36" s="76"/>
      <c r="Z36" s="76"/>
      <c r="AA36" s="68"/>
      <c r="AB36" s="166"/>
      <c r="AC36" s="6"/>
      <c r="AD36" s="95"/>
      <c r="AE36" s="99"/>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row>
    <row r="37" spans="1:252" s="96" customFormat="1" ht="20.25" customHeight="1">
      <c r="A37" s="32" t="str">
        <f t="shared" si="0"/>
        <v>Dienstag</v>
      </c>
      <c r="B37" s="37">
        <f t="shared" si="2"/>
        <v>42871</v>
      </c>
      <c r="C37" s="185" t="str">
        <f>IF(OR(A37="Samstag",A37="Sonntag"),"",IF(COUNTIF(Übersicht!C$16:C$30,B37)&gt;0,"BA",""))</f>
        <v/>
      </c>
      <c r="D37" s="38"/>
      <c r="E37" s="172">
        <f t="shared" si="4"/>
        <v>2</v>
      </c>
      <c r="F37" s="176"/>
      <c r="G37" s="177"/>
      <c r="H37" s="178"/>
      <c r="I37" s="38">
        <f t="shared" si="1"/>
        <v>0</v>
      </c>
      <c r="J37" s="35">
        <f t="shared" si="3"/>
        <v>-2</v>
      </c>
      <c r="K37" s="36">
        <f t="shared" si="5"/>
        <v>5.2499999999999964</v>
      </c>
      <c r="L37" s="251"/>
      <c r="M37" s="252"/>
      <c r="N37" s="252"/>
      <c r="O37" s="252"/>
      <c r="P37" s="253"/>
      <c r="Q37" s="89"/>
      <c r="R37" s="165"/>
      <c r="S37" s="76"/>
      <c r="T37" s="76"/>
      <c r="U37" s="76"/>
      <c r="V37" s="76"/>
      <c r="W37" s="76"/>
      <c r="X37" s="76"/>
      <c r="Y37" s="76"/>
      <c r="Z37" s="76"/>
      <c r="AA37" s="68"/>
      <c r="AB37" s="166"/>
      <c r="AC37" s="6"/>
      <c r="AD37" s="95"/>
      <c r="AE37" s="99"/>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row>
    <row r="38" spans="1:252" s="96" customFormat="1" ht="20.25" customHeight="1">
      <c r="A38" s="32" t="str">
        <f t="shared" si="0"/>
        <v>Mittwoch</v>
      </c>
      <c r="B38" s="37">
        <f t="shared" si="2"/>
        <v>42872</v>
      </c>
      <c r="C38" s="185" t="str">
        <f>IF(OR(A38="Samstag",A38="Sonntag"),"",IF(COUNTIF(Übersicht!C$16:C$30,B38)&gt;0,"BA",""))</f>
        <v/>
      </c>
      <c r="D38" s="38"/>
      <c r="E38" s="172">
        <f t="shared" si="4"/>
        <v>2</v>
      </c>
      <c r="F38" s="176">
        <v>0.35416666666666669</v>
      </c>
      <c r="G38" s="177">
        <v>2.0833333333333332E-2</v>
      </c>
      <c r="H38" s="178">
        <v>0.6875</v>
      </c>
      <c r="I38" s="38">
        <f t="shared" si="1"/>
        <v>7.5</v>
      </c>
      <c r="J38" s="35">
        <f t="shared" si="3"/>
        <v>5.5</v>
      </c>
      <c r="K38" s="36">
        <f t="shared" si="5"/>
        <v>10.749999999999996</v>
      </c>
      <c r="L38" s="251"/>
      <c r="M38" s="252"/>
      <c r="N38" s="252"/>
      <c r="O38" s="252"/>
      <c r="P38" s="253"/>
      <c r="Q38" s="89"/>
      <c r="R38" s="165"/>
      <c r="S38" s="76"/>
      <c r="T38" s="76"/>
      <c r="U38" s="76"/>
      <c r="V38" s="76"/>
      <c r="W38" s="76"/>
      <c r="X38" s="76"/>
      <c r="Y38" s="76"/>
      <c r="Z38" s="76"/>
      <c r="AA38" s="68"/>
      <c r="AB38" s="166"/>
      <c r="AC38" s="6"/>
      <c r="AD38" s="95"/>
      <c r="AE38" s="99"/>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row>
    <row r="39" spans="1:252" s="96" customFormat="1" ht="20.25" customHeight="1">
      <c r="A39" s="32" t="str">
        <f t="shared" si="0"/>
        <v>Donnerstag</v>
      </c>
      <c r="B39" s="37">
        <f t="shared" si="2"/>
        <v>42873</v>
      </c>
      <c r="C39" s="185" t="str">
        <f>IF(OR(A39="Samstag",A39="Sonntag"),"",IF(COUNTIF(Übersicht!C$16:C$30,B39)&gt;0,"BA",""))</f>
        <v/>
      </c>
      <c r="D39" s="38"/>
      <c r="E39" s="172">
        <f t="shared" si="4"/>
        <v>2</v>
      </c>
      <c r="F39" s="176">
        <v>0.45833333333333331</v>
      </c>
      <c r="G39" s="177">
        <v>0</v>
      </c>
      <c r="H39" s="178">
        <v>0.58333333333333337</v>
      </c>
      <c r="I39" s="38">
        <f t="shared" si="1"/>
        <v>3.0000000000000013</v>
      </c>
      <c r="J39" s="35">
        <f t="shared" si="3"/>
        <v>1.0000000000000013</v>
      </c>
      <c r="K39" s="36">
        <f t="shared" si="5"/>
        <v>11.749999999999998</v>
      </c>
      <c r="L39" s="251"/>
      <c r="M39" s="252"/>
      <c r="N39" s="252"/>
      <c r="O39" s="252"/>
      <c r="P39" s="253"/>
      <c r="Q39" s="89"/>
      <c r="R39" s="165"/>
      <c r="S39" s="76"/>
      <c r="T39" s="76"/>
      <c r="U39" s="76"/>
      <c r="V39" s="76"/>
      <c r="W39" s="76"/>
      <c r="X39" s="76"/>
      <c r="Y39" s="76"/>
      <c r="Z39" s="76"/>
      <c r="AA39" s="68"/>
      <c r="AB39" s="166"/>
      <c r="AC39" s="6"/>
      <c r="AD39" s="95"/>
      <c r="AE39" s="99"/>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row>
    <row r="40" spans="1:252" s="96" customFormat="1" ht="20.25" customHeight="1">
      <c r="A40" s="32" t="str">
        <f t="shared" si="0"/>
        <v>Freitag</v>
      </c>
      <c r="B40" s="37">
        <f t="shared" si="2"/>
        <v>42874</v>
      </c>
      <c r="C40" s="185" t="str">
        <f>IF(OR(A40="Samstag",A40="Sonntag"),"",IF(COUNTIF(Übersicht!C$16:C$30,B40)&gt;0,"BA",""))</f>
        <v/>
      </c>
      <c r="D40" s="38"/>
      <c r="E40" s="172">
        <f t="shared" si="4"/>
        <v>2</v>
      </c>
      <c r="F40" s="176">
        <v>0.34375</v>
      </c>
      <c r="G40" s="177">
        <v>0</v>
      </c>
      <c r="H40" s="178">
        <v>0.58333333333333337</v>
      </c>
      <c r="I40" s="38">
        <f t="shared" si="1"/>
        <v>5.7500000000000009</v>
      </c>
      <c r="J40" s="35">
        <f t="shared" si="3"/>
        <v>3.7500000000000009</v>
      </c>
      <c r="K40" s="36">
        <f t="shared" si="5"/>
        <v>15.5</v>
      </c>
      <c r="L40" s="251"/>
      <c r="M40" s="252"/>
      <c r="N40" s="252"/>
      <c r="O40" s="252"/>
      <c r="P40" s="253"/>
      <c r="Q40" s="89"/>
      <c r="R40" s="165"/>
      <c r="S40" s="76"/>
      <c r="T40" s="76"/>
      <c r="U40" s="76"/>
      <c r="V40" s="76"/>
      <c r="W40" s="76"/>
      <c r="X40" s="76"/>
      <c r="Y40" s="76"/>
      <c r="Z40" s="76"/>
      <c r="AA40" s="68"/>
      <c r="AB40" s="166"/>
      <c r="AC40" s="6"/>
      <c r="AD40" s="95"/>
      <c r="AE40" s="99"/>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row>
    <row r="41" spans="1:252" s="96" customFormat="1" ht="20.25" customHeight="1">
      <c r="A41" s="32" t="str">
        <f t="shared" si="0"/>
        <v>Samstag</v>
      </c>
      <c r="B41" s="37">
        <f t="shared" si="2"/>
        <v>42875</v>
      </c>
      <c r="C41" s="185" t="str">
        <f>IF(OR(A41="Samstag",A41="Sonntag"),"",IF(COUNTIF(Übersicht!C$16:C$30,B41)&gt;0,"BA",""))</f>
        <v/>
      </c>
      <c r="D41" s="38"/>
      <c r="E41" s="172" t="str">
        <f t="shared" si="4"/>
        <v/>
      </c>
      <c r="F41" s="176"/>
      <c r="G41" s="177"/>
      <c r="H41" s="178"/>
      <c r="I41" s="38">
        <f t="shared" si="1"/>
        <v>0</v>
      </c>
      <c r="J41" s="35">
        <f t="shared" si="3"/>
        <v>0</v>
      </c>
      <c r="K41" s="36">
        <f t="shared" si="5"/>
        <v>15.5</v>
      </c>
      <c r="L41" s="251"/>
      <c r="M41" s="252"/>
      <c r="N41" s="252"/>
      <c r="O41" s="252"/>
      <c r="P41" s="253"/>
      <c r="Q41" s="89"/>
      <c r="R41" s="165"/>
      <c r="S41" s="76"/>
      <c r="T41" s="76"/>
      <c r="U41" s="76"/>
      <c r="V41" s="76"/>
      <c r="W41" s="76"/>
      <c r="X41" s="76"/>
      <c r="Y41" s="76"/>
      <c r="Z41" s="76"/>
      <c r="AA41" s="68"/>
      <c r="AB41" s="166"/>
      <c r="AC41" s="6"/>
      <c r="AD41" s="95"/>
      <c r="AE41" s="99"/>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row>
    <row r="42" spans="1:252" s="96" customFormat="1" ht="20.25" customHeight="1">
      <c r="A42" s="32" t="str">
        <f t="shared" si="0"/>
        <v>Sonntag</v>
      </c>
      <c r="B42" s="37">
        <f t="shared" si="2"/>
        <v>42876</v>
      </c>
      <c r="C42" s="185" t="str">
        <f>IF(OR(A42="Samstag",A42="Sonntag"),"",IF(COUNTIF(Übersicht!C$16:C$30,B42)&gt;0,"BA",""))</f>
        <v/>
      </c>
      <c r="D42" s="38"/>
      <c r="E42" s="172" t="str">
        <f t="shared" si="4"/>
        <v/>
      </c>
      <c r="F42" s="176"/>
      <c r="G42" s="177"/>
      <c r="H42" s="178"/>
      <c r="I42" s="38">
        <f t="shared" si="1"/>
        <v>0</v>
      </c>
      <c r="J42" s="35">
        <f t="shared" si="3"/>
        <v>0</v>
      </c>
      <c r="K42" s="36">
        <f t="shared" si="5"/>
        <v>15.5</v>
      </c>
      <c r="L42" s="251"/>
      <c r="M42" s="252"/>
      <c r="N42" s="252"/>
      <c r="O42" s="252"/>
      <c r="P42" s="253"/>
      <c r="Q42" s="89"/>
      <c r="R42" s="165"/>
      <c r="S42" s="76"/>
      <c r="T42" s="76"/>
      <c r="U42" s="76"/>
      <c r="V42" s="76"/>
      <c r="W42" s="76"/>
      <c r="X42" s="76"/>
      <c r="Y42" s="76"/>
      <c r="Z42" s="76"/>
      <c r="AA42" s="68"/>
      <c r="AB42" s="166"/>
      <c r="AC42" s="6"/>
      <c r="AD42" s="95"/>
      <c r="AE42" s="99"/>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row>
    <row r="43" spans="1:252" s="96" customFormat="1" ht="20.25" customHeight="1">
      <c r="A43" s="32" t="str">
        <f t="shared" si="0"/>
        <v>Montag</v>
      </c>
      <c r="B43" s="37">
        <f t="shared" si="2"/>
        <v>42877</v>
      </c>
      <c r="C43" s="185" t="str">
        <f>IF(OR(A43="Samstag",A43="Sonntag"),"",IF(COUNTIF(Übersicht!C$16:C$30,B43)&gt;0,"BA",""))</f>
        <v/>
      </c>
      <c r="D43" s="38"/>
      <c r="E43" s="172">
        <f t="shared" si="4"/>
        <v>2</v>
      </c>
      <c r="F43" s="176"/>
      <c r="G43" s="177"/>
      <c r="H43" s="178"/>
      <c r="I43" s="38">
        <f t="shared" si="1"/>
        <v>0</v>
      </c>
      <c r="J43" s="35">
        <f t="shared" si="3"/>
        <v>-2</v>
      </c>
      <c r="K43" s="36">
        <f t="shared" si="5"/>
        <v>13.5</v>
      </c>
      <c r="L43" s="251"/>
      <c r="M43" s="252"/>
      <c r="N43" s="252"/>
      <c r="O43" s="252"/>
      <c r="P43" s="253"/>
      <c r="Q43" s="89"/>
      <c r="R43" s="165"/>
      <c r="S43" s="76"/>
      <c r="T43" s="76"/>
      <c r="U43" s="76"/>
      <c r="V43" s="76"/>
      <c r="W43" s="76"/>
      <c r="X43" s="76"/>
      <c r="Y43" s="76"/>
      <c r="Z43" s="76"/>
      <c r="AA43" s="68"/>
      <c r="AB43" s="166"/>
      <c r="AC43" s="6"/>
      <c r="AD43" s="95"/>
      <c r="AE43" s="99"/>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row>
    <row r="44" spans="1:252" s="96" customFormat="1" ht="20.25" customHeight="1">
      <c r="A44" s="32" t="str">
        <f t="shared" si="0"/>
        <v>Dienstag</v>
      </c>
      <c r="B44" s="37">
        <f t="shared" si="2"/>
        <v>42878</v>
      </c>
      <c r="C44" s="185" t="str">
        <f>IF(OR(A44="Samstag",A44="Sonntag"),"",IF(COUNTIF(Übersicht!C$16:C$30,B44)&gt;0,"BA",""))</f>
        <v/>
      </c>
      <c r="D44" s="38"/>
      <c r="E44" s="172">
        <f t="shared" si="4"/>
        <v>2</v>
      </c>
      <c r="F44" s="176"/>
      <c r="G44" s="177"/>
      <c r="H44" s="178"/>
      <c r="I44" s="38">
        <f t="shared" si="1"/>
        <v>0</v>
      </c>
      <c r="J44" s="35">
        <f t="shared" si="3"/>
        <v>-2</v>
      </c>
      <c r="K44" s="36">
        <f t="shared" si="5"/>
        <v>11.5</v>
      </c>
      <c r="L44" s="251"/>
      <c r="M44" s="252"/>
      <c r="N44" s="252"/>
      <c r="O44" s="252"/>
      <c r="P44" s="253"/>
      <c r="Q44" s="89"/>
      <c r="R44" s="165"/>
      <c r="S44" s="76"/>
      <c r="T44" s="76"/>
      <c r="U44" s="76"/>
      <c r="V44" s="76"/>
      <c r="W44" s="76"/>
      <c r="X44" s="76"/>
      <c r="Y44" s="76"/>
      <c r="Z44" s="76"/>
      <c r="AA44" s="68"/>
      <c r="AB44" s="166"/>
      <c r="AC44" s="6"/>
      <c r="AD44" s="95"/>
      <c r="AE44" s="99"/>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row>
    <row r="45" spans="1:252" s="96" customFormat="1" ht="20.25" customHeight="1">
      <c r="A45" s="32" t="str">
        <f t="shared" si="0"/>
        <v>Mittwoch</v>
      </c>
      <c r="B45" s="37">
        <f t="shared" si="2"/>
        <v>42879</v>
      </c>
      <c r="C45" s="185" t="str">
        <f>IF(OR(A45="Samstag",A45="Sonntag"),"",IF(COUNTIF(Übersicht!C$16:C$30,B45)&gt;0,"BA",""))</f>
        <v/>
      </c>
      <c r="D45" s="38"/>
      <c r="E45" s="172">
        <f t="shared" si="4"/>
        <v>2</v>
      </c>
      <c r="F45" s="176">
        <v>0.36458333333333331</v>
      </c>
      <c r="G45" s="177"/>
      <c r="H45" s="178">
        <v>0.61458333333333337</v>
      </c>
      <c r="I45" s="38">
        <f t="shared" si="1"/>
        <v>6.0000000000000018</v>
      </c>
      <c r="J45" s="35">
        <f t="shared" si="3"/>
        <v>4.0000000000000018</v>
      </c>
      <c r="K45" s="36">
        <f t="shared" si="5"/>
        <v>15.500000000000002</v>
      </c>
      <c r="L45" s="251"/>
      <c r="M45" s="252"/>
      <c r="N45" s="252"/>
      <c r="O45" s="252"/>
      <c r="P45" s="253"/>
      <c r="Q45" s="89"/>
      <c r="R45" s="165"/>
      <c r="S45" s="76"/>
      <c r="T45" s="76"/>
      <c r="U45" s="76"/>
      <c r="V45" s="76"/>
      <c r="W45" s="76"/>
      <c r="X45" s="76"/>
      <c r="Y45" s="76"/>
      <c r="Z45" s="76"/>
      <c r="AA45" s="68"/>
      <c r="AB45" s="166"/>
      <c r="AC45" s="6"/>
      <c r="AD45" s="95"/>
      <c r="AE45" s="99"/>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row>
    <row r="46" spans="1:252" s="96" customFormat="1" ht="20.25" customHeight="1">
      <c r="A46" s="32" t="str">
        <f t="shared" si="0"/>
        <v>Donnerstag</v>
      </c>
      <c r="B46" s="37">
        <f t="shared" si="2"/>
        <v>42880</v>
      </c>
      <c r="C46" s="185" t="str">
        <f>IF(OR(A46="Samstag",A46="Sonntag"),"",IF(COUNTIF(Übersicht!C$16:C$30,B46)&gt;0,"BA",""))</f>
        <v>BA</v>
      </c>
      <c r="D46" s="38"/>
      <c r="E46" s="172" t="str">
        <f t="shared" si="4"/>
        <v/>
      </c>
      <c r="F46" s="176"/>
      <c r="G46" s="177"/>
      <c r="H46" s="178"/>
      <c r="I46" s="38">
        <f t="shared" si="1"/>
        <v>0</v>
      </c>
      <c r="J46" s="35">
        <f t="shared" si="3"/>
        <v>0</v>
      </c>
      <c r="K46" s="36">
        <f t="shared" si="5"/>
        <v>15.500000000000002</v>
      </c>
      <c r="L46" s="251"/>
      <c r="M46" s="252"/>
      <c r="N46" s="252"/>
      <c r="O46" s="252"/>
      <c r="P46" s="253"/>
      <c r="Q46" s="89"/>
      <c r="R46" s="165"/>
      <c r="S46" s="76"/>
      <c r="T46" s="76"/>
      <c r="U46" s="76"/>
      <c r="V46" s="76"/>
      <c r="W46" s="76"/>
      <c r="X46" s="76"/>
      <c r="Y46" s="76"/>
      <c r="Z46" s="76"/>
      <c r="AA46" s="68"/>
      <c r="AB46" s="166"/>
      <c r="AC46" s="6"/>
      <c r="AD46" s="95"/>
      <c r="AE46" s="99"/>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row>
    <row r="47" spans="1:252" s="96" customFormat="1" ht="20.25" customHeight="1">
      <c r="A47" s="32" t="str">
        <f t="shared" si="0"/>
        <v>Freitag</v>
      </c>
      <c r="B47" s="37">
        <f t="shared" si="2"/>
        <v>42881</v>
      </c>
      <c r="C47" s="185" t="str">
        <f>IF(OR(A47="Samstag",A47="Sonntag"),"",IF(COUNTIF(Übersicht!C$16:C$30,B47)&gt;0,"BA",""))</f>
        <v/>
      </c>
      <c r="D47" s="38"/>
      <c r="E47" s="172">
        <f t="shared" si="4"/>
        <v>2</v>
      </c>
      <c r="F47" s="176"/>
      <c r="G47" s="177"/>
      <c r="H47" s="178"/>
      <c r="I47" s="38">
        <f t="shared" si="1"/>
        <v>0</v>
      </c>
      <c r="J47" s="35">
        <f t="shared" si="3"/>
        <v>-2</v>
      </c>
      <c r="K47" s="36">
        <f t="shared" si="5"/>
        <v>13.500000000000002</v>
      </c>
      <c r="L47" s="251"/>
      <c r="M47" s="252"/>
      <c r="N47" s="252"/>
      <c r="O47" s="252"/>
      <c r="P47" s="253"/>
      <c r="Q47" s="89"/>
      <c r="R47" s="165"/>
      <c r="S47" s="76"/>
      <c r="T47" s="76"/>
      <c r="U47" s="76"/>
      <c r="V47" s="76"/>
      <c r="W47" s="76"/>
      <c r="X47" s="76"/>
      <c r="Y47" s="76"/>
      <c r="Z47" s="76"/>
      <c r="AA47" s="68"/>
      <c r="AB47" s="166"/>
      <c r="AC47" s="6"/>
      <c r="AD47" s="95"/>
      <c r="AE47" s="99"/>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row>
    <row r="48" spans="1:252" s="96" customFormat="1" ht="20.25" customHeight="1">
      <c r="A48" s="32" t="str">
        <f t="shared" si="0"/>
        <v>Samstag</v>
      </c>
      <c r="B48" s="37">
        <f t="shared" si="2"/>
        <v>42882</v>
      </c>
      <c r="C48" s="185" t="str">
        <f>IF(OR(A48="Samstag",A48="Sonntag"),"",IF(COUNTIF(Übersicht!C$16:C$30,B48)&gt;0,"BA",""))</f>
        <v/>
      </c>
      <c r="D48" s="38"/>
      <c r="E48" s="172" t="str">
        <f t="shared" si="4"/>
        <v/>
      </c>
      <c r="F48" s="176"/>
      <c r="G48" s="177"/>
      <c r="H48" s="178"/>
      <c r="I48" s="38">
        <f t="shared" si="1"/>
        <v>0</v>
      </c>
      <c r="J48" s="35">
        <f t="shared" si="3"/>
        <v>0</v>
      </c>
      <c r="K48" s="36">
        <f t="shared" si="5"/>
        <v>13.500000000000002</v>
      </c>
      <c r="L48" s="251"/>
      <c r="M48" s="252"/>
      <c r="N48" s="252"/>
      <c r="O48" s="252"/>
      <c r="P48" s="253"/>
      <c r="Q48" s="89"/>
      <c r="R48" s="165"/>
      <c r="S48" s="76"/>
      <c r="T48" s="76"/>
      <c r="U48" s="76"/>
      <c r="V48" s="76"/>
      <c r="W48" s="76"/>
      <c r="X48" s="76"/>
      <c r="Y48" s="76"/>
      <c r="Z48" s="76"/>
      <c r="AA48" s="68"/>
      <c r="AB48" s="166"/>
      <c r="AC48" s="6"/>
      <c r="AD48" s="95"/>
      <c r="AE48" s="99"/>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row>
    <row r="49" spans="1:252" s="96" customFormat="1" ht="20.25" customHeight="1">
      <c r="A49" s="32" t="str">
        <f t="shared" si="0"/>
        <v>Sonntag</v>
      </c>
      <c r="B49" s="37">
        <f t="shared" si="2"/>
        <v>42883</v>
      </c>
      <c r="C49" s="185" t="str">
        <f>IF(OR(A49="Samstag",A49="Sonntag"),"",IF(COUNTIF(Übersicht!C$16:C$30,B49)&gt;0,"BA",""))</f>
        <v/>
      </c>
      <c r="D49" s="38"/>
      <c r="E49" s="172" t="str">
        <f t="shared" si="4"/>
        <v/>
      </c>
      <c r="F49" s="176"/>
      <c r="G49" s="177"/>
      <c r="H49" s="178"/>
      <c r="I49" s="38">
        <f t="shared" si="1"/>
        <v>0</v>
      </c>
      <c r="J49" s="35">
        <f t="shared" si="3"/>
        <v>0</v>
      </c>
      <c r="K49" s="36">
        <f t="shared" si="5"/>
        <v>13.500000000000002</v>
      </c>
      <c r="L49" s="251"/>
      <c r="M49" s="252"/>
      <c r="N49" s="252"/>
      <c r="O49" s="252"/>
      <c r="P49" s="253"/>
      <c r="Q49" s="89"/>
      <c r="R49" s="165"/>
      <c r="S49" s="76"/>
      <c r="T49" s="76"/>
      <c r="U49" s="76"/>
      <c r="V49" s="76"/>
      <c r="W49" s="76"/>
      <c r="X49" s="76"/>
      <c r="Y49" s="76"/>
      <c r="Z49" s="76"/>
      <c r="AA49" s="68"/>
      <c r="AB49" s="166"/>
      <c r="AC49" s="6"/>
      <c r="AD49" s="95"/>
      <c r="AE49" s="99"/>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row>
    <row r="50" spans="1:252" s="96" customFormat="1" ht="20.25" customHeight="1">
      <c r="A50" s="32" t="str">
        <f t="shared" si="0"/>
        <v>Montag</v>
      </c>
      <c r="B50" s="37">
        <f t="shared" si="2"/>
        <v>42884</v>
      </c>
      <c r="C50" s="185" t="str">
        <f>IF(OR(A50="Samstag",A50="Sonntag"),"",IF(COUNTIF(Übersicht!C$16:C$30,B50)&gt;0,"BA",""))</f>
        <v/>
      </c>
      <c r="D50" s="38"/>
      <c r="E50" s="172">
        <f t="shared" si="4"/>
        <v>2</v>
      </c>
      <c r="F50" s="176">
        <v>0.625</v>
      </c>
      <c r="G50" s="177"/>
      <c r="H50" s="178">
        <v>0.72916666666666663</v>
      </c>
      <c r="I50" s="38">
        <f t="shared" si="1"/>
        <v>2.4999999999999991</v>
      </c>
      <c r="J50" s="35">
        <f t="shared" si="3"/>
        <v>0.49999999999999911</v>
      </c>
      <c r="K50" s="36">
        <f t="shared" si="5"/>
        <v>14</v>
      </c>
      <c r="L50" s="251"/>
      <c r="M50" s="252"/>
      <c r="N50" s="252"/>
      <c r="O50" s="252"/>
      <c r="P50" s="253"/>
      <c r="Q50" s="89"/>
      <c r="R50" s="165"/>
      <c r="S50" s="76"/>
      <c r="T50" s="76"/>
      <c r="U50" s="76"/>
      <c r="V50" s="76"/>
      <c r="W50" s="76"/>
      <c r="X50" s="76"/>
      <c r="Y50" s="76"/>
      <c r="Z50" s="76"/>
      <c r="AA50" s="68"/>
      <c r="AB50" s="166"/>
      <c r="AC50" s="6"/>
      <c r="AD50" s="95"/>
      <c r="AE50" s="99"/>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row>
    <row r="51" spans="1:252" s="96" customFormat="1" ht="20.25" customHeight="1">
      <c r="A51" s="32" t="str">
        <f t="shared" si="0"/>
        <v>Dienstag</v>
      </c>
      <c r="B51" s="37">
        <f t="shared" si="2"/>
        <v>42885</v>
      </c>
      <c r="C51" s="185" t="str">
        <f>IF(OR(A51="Samstag",A51="Sonntag"),"",IF(COUNTIF(Übersicht!C$16:C$30,B51)&gt;0,"BA",""))</f>
        <v/>
      </c>
      <c r="D51" s="38"/>
      <c r="E51" s="172">
        <f t="shared" si="4"/>
        <v>2</v>
      </c>
      <c r="F51" s="176"/>
      <c r="G51" s="177"/>
      <c r="H51" s="178"/>
      <c r="I51" s="38">
        <f t="shared" si="1"/>
        <v>0</v>
      </c>
      <c r="J51" s="35">
        <f t="shared" si="3"/>
        <v>-2</v>
      </c>
      <c r="K51" s="36">
        <f t="shared" si="5"/>
        <v>12</v>
      </c>
      <c r="L51" s="251"/>
      <c r="M51" s="252"/>
      <c r="N51" s="252"/>
      <c r="O51" s="252"/>
      <c r="P51" s="253"/>
      <c r="Q51" s="89"/>
      <c r="R51" s="165"/>
      <c r="S51" s="76"/>
      <c r="T51" s="76"/>
      <c r="U51" s="76"/>
      <c r="V51" s="76"/>
      <c r="W51" s="76"/>
      <c r="X51" s="76"/>
      <c r="Y51" s="76"/>
      <c r="Z51" s="76"/>
      <c r="AA51" s="68"/>
      <c r="AB51" s="166"/>
      <c r="AC51" s="6"/>
      <c r="AD51" s="95"/>
      <c r="AE51" s="99"/>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row>
    <row r="52" spans="1:252" s="96" customFormat="1" ht="20.25" customHeight="1" thickBot="1">
      <c r="A52" s="32" t="str">
        <f t="shared" si="0"/>
        <v>Mittwoch</v>
      </c>
      <c r="B52" s="37">
        <f t="shared" si="2"/>
        <v>42886</v>
      </c>
      <c r="C52" s="185" t="str">
        <f>IF(OR(A52="Samstag",A52="Sonntag"),"",IF(COUNTIF(Übersicht!C$16:C$30,B52)&gt;0,"BA",""))</f>
        <v/>
      </c>
      <c r="D52" s="39"/>
      <c r="E52" s="172">
        <f t="shared" si="4"/>
        <v>2</v>
      </c>
      <c r="F52" s="176">
        <v>0.36458333333333331</v>
      </c>
      <c r="G52" s="177"/>
      <c r="H52" s="178">
        <v>0.60416666666666663</v>
      </c>
      <c r="I52" s="38">
        <f t="shared" si="1"/>
        <v>5.75</v>
      </c>
      <c r="J52" s="35">
        <f t="shared" si="3"/>
        <v>3.75</v>
      </c>
      <c r="K52" s="40">
        <f t="shared" si="5"/>
        <v>15.75</v>
      </c>
      <c r="L52" s="282"/>
      <c r="M52" s="283"/>
      <c r="N52" s="283"/>
      <c r="O52" s="283"/>
      <c r="P52" s="284"/>
      <c r="Q52" s="89"/>
      <c r="R52" s="165"/>
      <c r="S52" s="77"/>
      <c r="T52" s="77"/>
      <c r="U52" s="77"/>
      <c r="V52" s="77"/>
      <c r="W52" s="77"/>
      <c r="X52" s="77"/>
      <c r="Y52" s="77"/>
      <c r="Z52" s="78"/>
      <c r="AA52" s="68"/>
      <c r="AB52" s="166"/>
      <c r="AC52" s="6"/>
      <c r="AD52" s="95"/>
      <c r="AE52" s="99"/>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row>
    <row r="53" spans="1:252" s="96" customFormat="1" ht="18.75" customHeight="1">
      <c r="A53" s="6"/>
      <c r="B53" s="41" t="s">
        <v>26</v>
      </c>
      <c r="C53" s="42"/>
      <c r="D53" s="43"/>
      <c r="E53" s="43" t="s">
        <v>11</v>
      </c>
      <c r="F53" s="44"/>
      <c r="G53" s="44"/>
      <c r="H53" s="44"/>
      <c r="I53" s="43" t="s">
        <v>20</v>
      </c>
      <c r="J53" s="43" t="s">
        <v>28</v>
      </c>
      <c r="K53" s="43" t="s">
        <v>27</v>
      </c>
      <c r="L53" s="45"/>
      <c r="M53" s="45"/>
      <c r="N53" s="45"/>
      <c r="O53" s="45"/>
      <c r="P53" s="46"/>
      <c r="Q53" s="160"/>
      <c r="R53" s="160"/>
      <c r="S53" s="76"/>
      <c r="T53" s="183"/>
      <c r="U53" s="79"/>
      <c r="V53" s="6"/>
      <c r="W53" s="78"/>
      <c r="X53" s="76"/>
      <c r="Y53" s="80"/>
      <c r="Z53" s="80"/>
      <c r="AA53" s="68"/>
      <c r="AB53" s="68"/>
      <c r="AC53" s="6"/>
      <c r="AD53" s="95"/>
      <c r="AE53" s="99"/>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row>
    <row r="54" spans="1:252" s="96" customFormat="1" ht="18.75" customHeight="1">
      <c r="A54" s="6"/>
      <c r="B54" s="47"/>
      <c r="C54" s="48"/>
      <c r="D54" s="49"/>
      <c r="E54" s="50">
        <f>SUM(E22:E52)</f>
        <v>42</v>
      </c>
      <c r="F54" s="51"/>
      <c r="G54" s="52"/>
      <c r="H54" s="49"/>
      <c r="I54" s="50">
        <f>SUM(I22:I52)</f>
        <v>55.5</v>
      </c>
      <c r="J54" s="50">
        <f>SUM(J22:J52)</f>
        <v>13.5</v>
      </c>
      <c r="K54" s="50">
        <f>K52</f>
        <v>15.75</v>
      </c>
      <c r="L54" s="91"/>
      <c r="M54" s="91"/>
      <c r="N54" s="91"/>
      <c r="O54" s="91"/>
      <c r="P54" s="53"/>
      <c r="Q54" s="161"/>
      <c r="R54" s="161"/>
      <c r="S54" s="81"/>
      <c r="T54" s="82"/>
      <c r="U54" s="82"/>
      <c r="V54" s="6"/>
      <c r="W54" s="81"/>
      <c r="X54" s="81"/>
      <c r="Y54" s="6"/>
      <c r="Z54" s="6"/>
      <c r="AA54" s="68"/>
      <c r="AB54" s="68"/>
      <c r="AC54" s="6"/>
      <c r="AD54" s="95"/>
      <c r="AE54" s="99"/>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row>
    <row r="55" spans="1:252" s="96" customFormat="1" ht="15">
      <c r="A55" s="6"/>
      <c r="B55" s="54"/>
      <c r="C55" s="54"/>
      <c r="D55" s="54"/>
      <c r="E55" s="54"/>
      <c r="F55" s="55"/>
      <c r="G55" s="56"/>
      <c r="H55" s="100"/>
      <c r="I55" s="6"/>
      <c r="J55" s="101"/>
      <c r="K55" s="257" t="str">
        <f>IF($E$54*1.5&lt;IF($M$7&lt;0,$I$54+$M$7,$I$54),"Überschreitung der zulässigen Monatsarbeitszeit um &gt;50%","")</f>
        <v/>
      </c>
      <c r="L55" s="257"/>
      <c r="M55" s="257"/>
      <c r="N55" s="257"/>
      <c r="O55" s="257"/>
      <c r="P55" s="60"/>
      <c r="Q55" s="162"/>
      <c r="R55" s="162"/>
      <c r="S55" s="83"/>
      <c r="T55" s="83"/>
      <c r="U55" s="83"/>
      <c r="V55" s="6"/>
      <c r="W55" s="6"/>
      <c r="X55" s="76"/>
      <c r="Y55" s="6"/>
      <c r="Z55" s="6"/>
      <c r="AA55" s="68"/>
      <c r="AB55" s="68"/>
      <c r="AC55" s="6"/>
      <c r="AD55" s="95"/>
      <c r="AE55" s="99"/>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row>
    <row r="56" spans="1:252" s="96" customFormat="1" ht="15">
      <c r="A56" s="6"/>
      <c r="B56" s="54"/>
      <c r="C56" s="54"/>
      <c r="D56" s="54"/>
      <c r="E56" s="54"/>
      <c r="F56" s="55"/>
      <c r="G56" s="56"/>
      <c r="H56" s="102"/>
      <c r="I56" s="101"/>
      <c r="J56" s="101"/>
      <c r="K56" s="58"/>
      <c r="L56" s="59"/>
      <c r="M56" s="59"/>
      <c r="N56" s="59"/>
      <c r="O56" s="59"/>
      <c r="P56" s="60"/>
      <c r="Q56" s="162"/>
      <c r="R56" s="162"/>
      <c r="S56" s="83"/>
      <c r="T56" s="83"/>
      <c r="U56" s="83"/>
      <c r="V56" s="6"/>
      <c r="W56" s="6"/>
      <c r="X56" s="81"/>
      <c r="Y56" s="6"/>
      <c r="Z56" s="6"/>
      <c r="AA56" s="68"/>
      <c r="AB56" s="68"/>
      <c r="AC56" s="6"/>
      <c r="AD56" s="95"/>
      <c r="AE56" s="99"/>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row>
    <row r="57" spans="1:252" s="96" customFormat="1" ht="15">
      <c r="A57" s="6"/>
      <c r="B57" s="61"/>
      <c r="C57" s="61"/>
      <c r="D57" s="61"/>
      <c r="E57" s="61"/>
      <c r="F57" s="61"/>
      <c r="G57" s="61"/>
      <c r="H57" s="62"/>
      <c r="I57" s="6"/>
      <c r="J57" s="6"/>
      <c r="K57" s="6" t="s">
        <v>75</v>
      </c>
      <c r="L57" s="6"/>
      <c r="M57" s="6"/>
      <c r="N57" s="6"/>
      <c r="O57" s="57"/>
      <c r="P57" s="24"/>
      <c r="Q57" s="156"/>
      <c r="R57" s="156"/>
      <c r="S57" s="6"/>
      <c r="T57" s="6"/>
      <c r="U57" s="6"/>
      <c r="V57" s="6"/>
      <c r="W57" s="6"/>
      <c r="X57" s="6"/>
      <c r="Y57" s="6"/>
      <c r="Z57" s="6"/>
      <c r="AA57" s="68"/>
      <c r="AB57" s="68"/>
      <c r="AC57" s="6"/>
      <c r="AD57" s="95"/>
      <c r="AE57" s="99"/>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row>
    <row r="58" spans="1:252" s="96" customFormat="1" ht="15">
      <c r="A58" s="6"/>
      <c r="B58" s="62"/>
      <c r="C58" s="62"/>
      <c r="D58" s="62"/>
      <c r="E58" s="62"/>
      <c r="F58" s="62"/>
      <c r="G58" s="62"/>
      <c r="H58" s="32"/>
      <c r="I58" s="103"/>
      <c r="J58" s="68"/>
      <c r="K58" s="6" t="s">
        <v>76</v>
      </c>
      <c r="L58" s="206"/>
      <c r="M58" s="207"/>
      <c r="N58" s="207"/>
      <c r="O58" s="201"/>
      <c r="P58" s="63"/>
      <c r="Q58" s="163"/>
      <c r="R58" s="163"/>
      <c r="S58" s="84"/>
      <c r="T58" s="84"/>
      <c r="U58" s="84"/>
      <c r="V58" s="6"/>
      <c r="W58" s="6"/>
      <c r="X58" s="6"/>
      <c r="Y58" s="6"/>
      <c r="Z58" s="6"/>
      <c r="AA58" s="68"/>
      <c r="AB58" s="68"/>
      <c r="AC58" s="6"/>
      <c r="AD58" s="95"/>
      <c r="AE58" s="99"/>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row>
    <row r="59" spans="1:252" s="96" customFormat="1" ht="15">
      <c r="A59" s="6"/>
      <c r="B59" s="64"/>
      <c r="C59" s="64"/>
      <c r="D59" s="64"/>
      <c r="E59" s="64"/>
      <c r="F59" s="64"/>
      <c r="G59" s="62"/>
      <c r="H59" s="208"/>
      <c r="I59" s="208"/>
      <c r="J59" s="208"/>
      <c r="K59" s="65"/>
      <c r="L59" s="65"/>
      <c r="M59" s="65"/>
      <c r="N59" s="65"/>
      <c r="O59" s="65"/>
      <c r="P59" s="66"/>
      <c r="Q59" s="156"/>
      <c r="R59" s="156"/>
      <c r="S59" s="6"/>
      <c r="T59" s="6"/>
      <c r="U59" s="6"/>
      <c r="V59" s="6"/>
      <c r="W59" s="6"/>
      <c r="X59" s="6"/>
      <c r="Y59" s="6"/>
      <c r="Z59" s="6"/>
      <c r="AA59" s="68"/>
      <c r="AB59" s="68"/>
      <c r="AC59" s="6"/>
      <c r="AD59" s="95"/>
      <c r="AE59" s="99"/>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row>
    <row r="60" spans="1:252" s="96" customFormat="1" ht="15">
      <c r="A60" s="6"/>
      <c r="B60" s="67" t="s">
        <v>4</v>
      </c>
      <c r="C60" s="280" t="s">
        <v>5</v>
      </c>
      <c r="D60" s="280"/>
      <c r="E60" s="280"/>
      <c r="F60" s="280"/>
      <c r="G60" s="281"/>
      <c r="H60" s="32"/>
      <c r="I60" s="104"/>
      <c r="J60" s="6"/>
      <c r="K60" s="67" t="s">
        <v>4</v>
      </c>
      <c r="L60" s="281" t="s">
        <v>66</v>
      </c>
      <c r="M60" s="281"/>
      <c r="N60" s="281"/>
      <c r="O60" s="281"/>
      <c r="P60" s="281"/>
      <c r="Q60" s="24"/>
      <c r="R60" s="6"/>
      <c r="S60" s="6"/>
      <c r="T60" s="6"/>
      <c r="U60" s="6"/>
      <c r="V60" s="6"/>
      <c r="W60" s="6"/>
      <c r="X60" s="6"/>
      <c r="Y60" s="6"/>
      <c r="Z60" s="6"/>
      <c r="AA60" s="68"/>
      <c r="AB60" s="68"/>
      <c r="AC60" s="6"/>
      <c r="AD60" s="95"/>
      <c r="AE60" s="99"/>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row>
    <row r="61" spans="1:252" s="96" customFormat="1" ht="15">
      <c r="A61" s="6"/>
      <c r="B61" s="67"/>
      <c r="C61" s="205"/>
      <c r="D61" s="205"/>
      <c r="E61" s="205"/>
      <c r="F61" s="205"/>
      <c r="G61" s="205"/>
      <c r="H61" s="32"/>
      <c r="I61" s="104"/>
      <c r="J61" s="6"/>
      <c r="K61" s="67"/>
      <c r="L61" s="205"/>
      <c r="M61" s="205"/>
      <c r="N61" s="205"/>
      <c r="O61" s="205"/>
      <c r="P61" s="205"/>
      <c r="Q61" s="24"/>
      <c r="R61" s="6"/>
      <c r="S61" s="6"/>
      <c r="T61" s="6"/>
      <c r="U61" s="6"/>
      <c r="V61" s="6"/>
      <c r="W61" s="6"/>
      <c r="X61" s="6"/>
      <c r="Y61" s="6"/>
      <c r="Z61" s="6"/>
      <c r="AA61" s="68"/>
      <c r="AB61" s="68"/>
      <c r="AC61" s="6"/>
      <c r="AD61" s="95"/>
      <c r="AE61" s="99"/>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row>
    <row r="62" spans="1:252" s="96" customFormat="1" ht="15">
      <c r="A62" s="6"/>
      <c r="B62" s="57"/>
      <c r="C62" s="57"/>
      <c r="D62" s="57"/>
      <c r="E62" s="57"/>
      <c r="F62" s="57"/>
      <c r="G62" s="57"/>
      <c r="H62" s="105" t="s">
        <v>46</v>
      </c>
      <c r="I62" s="32"/>
      <c r="J62" s="106">
        <v>42114</v>
      </c>
      <c r="K62" s="57"/>
      <c r="L62" s="57"/>
      <c r="M62" s="57"/>
      <c r="N62" s="57"/>
      <c r="O62" s="57"/>
      <c r="P62" s="24"/>
      <c r="Q62" s="24"/>
      <c r="R62" s="6"/>
      <c r="S62" s="6"/>
      <c r="T62" s="6"/>
      <c r="U62" s="6"/>
      <c r="V62" s="68"/>
      <c r="W62" s="6"/>
      <c r="X62" s="6"/>
      <c r="Y62" s="6"/>
      <c r="Z62" s="6"/>
      <c r="AA62" s="68"/>
      <c r="AB62" s="68"/>
      <c r="AC62" s="6"/>
      <c r="AD62" s="95"/>
      <c r="AE62" s="99"/>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row>
    <row r="63" spans="1:252" s="96" customFormat="1" ht="15" hidden="1">
      <c r="A63" s="6"/>
      <c r="B63" s="57"/>
      <c r="C63" s="57"/>
      <c r="D63" s="57"/>
      <c r="E63" s="57"/>
      <c r="F63" s="57"/>
      <c r="G63" s="57"/>
      <c r="H63" s="57"/>
      <c r="I63" s="57"/>
      <c r="J63" s="57"/>
      <c r="K63" s="57"/>
      <c r="L63" s="57"/>
      <c r="M63" s="57"/>
      <c r="N63" s="57"/>
      <c r="O63" s="57"/>
      <c r="P63" s="24"/>
      <c r="Q63" s="24"/>
      <c r="R63" s="6"/>
      <c r="S63" s="6"/>
      <c r="T63" s="6"/>
      <c r="U63" s="6"/>
      <c r="V63" s="6"/>
      <c r="W63" s="6"/>
      <c r="X63" s="6"/>
      <c r="Y63" s="6"/>
      <c r="Z63" s="6"/>
      <c r="AA63" s="68"/>
      <c r="AB63" s="68"/>
      <c r="AC63" s="6"/>
      <c r="AD63" s="95"/>
      <c r="AE63" s="99"/>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row>
    <row r="64" spans="1:252" s="96" customFormat="1" ht="15" hidden="1">
      <c r="A64" s="6"/>
      <c r="B64" s="57"/>
      <c r="C64" s="57"/>
      <c r="D64" s="57"/>
      <c r="E64" s="57"/>
      <c r="F64" s="57"/>
      <c r="G64" s="57"/>
      <c r="H64" s="57"/>
      <c r="I64" s="57"/>
      <c r="J64" s="57"/>
      <c r="K64" s="57"/>
      <c r="L64" s="57"/>
      <c r="M64" s="57"/>
      <c r="N64" s="57"/>
      <c r="O64" s="57"/>
      <c r="P64" s="24"/>
      <c r="Q64" s="24"/>
      <c r="R64" s="6"/>
      <c r="S64" s="6"/>
      <c r="T64" s="6"/>
      <c r="U64" s="6"/>
      <c r="V64" s="6"/>
      <c r="W64" s="6"/>
      <c r="X64" s="6"/>
      <c r="Y64" s="6"/>
      <c r="Z64" s="6"/>
      <c r="AA64" s="68"/>
      <c r="AB64" s="68"/>
      <c r="AC64" s="6"/>
      <c r="AD64" s="95"/>
      <c r="AE64" s="99"/>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row>
    <row r="65" spans="1:252" s="96" customFormat="1" ht="15" hidden="1">
      <c r="A65" s="6"/>
      <c r="B65" s="57"/>
      <c r="C65" s="57"/>
      <c r="D65" s="57"/>
      <c r="E65" s="57"/>
      <c r="F65" s="57"/>
      <c r="G65" s="57"/>
      <c r="H65" s="57"/>
      <c r="I65" s="57"/>
      <c r="J65" s="57"/>
      <c r="K65" s="57"/>
      <c r="L65" s="57"/>
      <c r="M65" s="57"/>
      <c r="N65" s="57"/>
      <c r="O65" s="57"/>
      <c r="P65" s="24"/>
      <c r="Q65" s="24"/>
      <c r="R65" s="6"/>
      <c r="S65" s="6"/>
      <c r="T65" s="6"/>
      <c r="U65" s="6"/>
      <c r="V65" s="6"/>
      <c r="W65" s="6"/>
      <c r="X65" s="6"/>
      <c r="Y65" s="6"/>
      <c r="Z65" s="6"/>
      <c r="AA65" s="68"/>
      <c r="AB65" s="68"/>
      <c r="AC65" s="6"/>
      <c r="AD65" s="95"/>
      <c r="AE65" s="99"/>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row>
    <row r="66" spans="1:252" s="96" customFormat="1" ht="15" hidden="1">
      <c r="A66" s="6"/>
      <c r="B66" s="57"/>
      <c r="C66" s="57"/>
      <c r="D66" s="57"/>
      <c r="E66" s="57"/>
      <c r="F66" s="57"/>
      <c r="G66" s="57"/>
      <c r="H66" s="57"/>
      <c r="I66" s="57"/>
      <c r="J66" s="57"/>
      <c r="K66" s="57"/>
      <c r="L66" s="57"/>
      <c r="M66" s="57"/>
      <c r="N66" s="57"/>
      <c r="O66" s="57"/>
      <c r="P66" s="24"/>
      <c r="Q66" s="24"/>
      <c r="R66" s="6"/>
      <c r="S66" s="6"/>
      <c r="T66" s="6"/>
      <c r="U66" s="6"/>
      <c r="V66" s="6"/>
      <c r="W66" s="6"/>
      <c r="X66" s="6"/>
      <c r="Y66" s="6"/>
      <c r="Z66" s="6"/>
      <c r="AA66" s="68"/>
      <c r="AB66" s="68"/>
      <c r="AC66" s="6"/>
      <c r="AD66" s="95"/>
      <c r="AE66" s="99"/>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row>
    <row r="67" spans="1:252" s="96" customFormat="1" ht="15" hidden="1">
      <c r="A67" s="6"/>
      <c r="B67" s="57"/>
      <c r="C67" s="57"/>
      <c r="D67" s="57"/>
      <c r="E67" s="57"/>
      <c r="F67" s="57"/>
      <c r="G67" s="57"/>
      <c r="H67" s="57"/>
      <c r="I67" s="57"/>
      <c r="J67" s="57"/>
      <c r="K67" s="57"/>
      <c r="L67" s="57"/>
      <c r="M67" s="57"/>
      <c r="N67" s="57"/>
      <c r="O67" s="57"/>
      <c r="P67" s="24"/>
      <c r="Q67" s="24"/>
      <c r="R67" s="6"/>
      <c r="S67" s="6"/>
      <c r="T67" s="6"/>
      <c r="U67" s="6"/>
      <c r="V67" s="6"/>
      <c r="W67" s="6"/>
      <c r="X67" s="6"/>
      <c r="Y67" s="6"/>
      <c r="Z67" s="6"/>
      <c r="AA67" s="68"/>
      <c r="AB67" s="68"/>
      <c r="AC67" s="6"/>
      <c r="AD67" s="95"/>
      <c r="AE67" s="99"/>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row>
    <row r="68" spans="1:252" s="96" customFormat="1" ht="15" hidden="1">
      <c r="A68" s="6"/>
      <c r="B68" s="57"/>
      <c r="C68" s="57"/>
      <c r="D68" s="57"/>
      <c r="E68" s="57"/>
      <c r="F68" s="57"/>
      <c r="G68" s="57"/>
      <c r="H68" s="57"/>
      <c r="I68" s="57"/>
      <c r="J68" s="57"/>
      <c r="K68" s="57"/>
      <c r="L68" s="57"/>
      <c r="M68" s="57"/>
      <c r="N68" s="57"/>
      <c r="O68" s="57"/>
      <c r="P68" s="24"/>
      <c r="Q68" s="24"/>
      <c r="R68" s="6"/>
      <c r="S68" s="6"/>
      <c r="T68" s="6"/>
      <c r="U68" s="6"/>
      <c r="V68" s="6"/>
      <c r="W68" s="6"/>
      <c r="X68" s="6"/>
      <c r="Y68" s="6"/>
      <c r="Z68" s="6"/>
      <c r="AA68" s="68"/>
      <c r="AB68" s="68"/>
      <c r="AC68" s="6"/>
      <c r="AD68" s="95"/>
      <c r="AE68" s="99"/>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row>
    <row r="69" spans="1:252" s="96" customFormat="1" ht="15" hidden="1">
      <c r="A69" s="6"/>
      <c r="B69" s="57"/>
      <c r="C69" s="57"/>
      <c r="D69" s="57"/>
      <c r="E69" s="57"/>
      <c r="F69" s="57"/>
      <c r="G69" s="57"/>
      <c r="H69" s="57"/>
      <c r="I69" s="57"/>
      <c r="J69" s="57"/>
      <c r="K69" s="57"/>
      <c r="L69" s="57"/>
      <c r="M69" s="57"/>
      <c r="N69" s="57"/>
      <c r="O69" s="57"/>
      <c r="P69" s="24"/>
      <c r="Q69" s="24"/>
      <c r="R69" s="6"/>
      <c r="S69" s="6"/>
      <c r="T69" s="6"/>
      <c r="U69" s="6"/>
      <c r="V69" s="6"/>
      <c r="W69" s="6"/>
      <c r="X69" s="6"/>
      <c r="Y69" s="6"/>
      <c r="Z69" s="6"/>
      <c r="AA69" s="68"/>
      <c r="AB69" s="68"/>
      <c r="AC69" s="6"/>
      <c r="AD69" s="95"/>
      <c r="AE69" s="99"/>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row>
    <row r="70" spans="1:252" s="96" customFormat="1" ht="15" hidden="1">
      <c r="A70" s="6"/>
      <c r="B70" s="57"/>
      <c r="C70" s="57"/>
      <c r="D70" s="57"/>
      <c r="E70" s="57"/>
      <c r="F70" s="57"/>
      <c r="G70" s="57"/>
      <c r="H70" s="57"/>
      <c r="I70" s="57"/>
      <c r="J70" s="57"/>
      <c r="K70" s="57"/>
      <c r="L70" s="57"/>
      <c r="M70" s="57"/>
      <c r="N70" s="57"/>
      <c r="O70" s="57"/>
      <c r="P70" s="24"/>
      <c r="Q70" s="24"/>
      <c r="R70" s="6"/>
      <c r="S70" s="6"/>
      <c r="T70" s="6"/>
      <c r="U70" s="6"/>
      <c r="V70" s="6"/>
      <c r="W70" s="6"/>
      <c r="X70" s="6"/>
      <c r="Y70" s="6"/>
      <c r="Z70" s="6"/>
      <c r="AA70" s="68"/>
      <c r="AB70" s="68"/>
      <c r="AC70" s="6"/>
      <c r="AD70" s="95"/>
      <c r="AE70" s="99"/>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row>
    <row r="71" spans="1:252" s="96" customFormat="1" ht="15" hidden="1">
      <c r="A71" s="6"/>
      <c r="B71" s="57"/>
      <c r="C71" s="57"/>
      <c r="D71" s="57"/>
      <c r="E71" s="57"/>
      <c r="F71" s="57"/>
      <c r="G71" s="57"/>
      <c r="H71" s="57"/>
      <c r="I71" s="57"/>
      <c r="J71" s="57"/>
      <c r="K71" s="57"/>
      <c r="L71" s="57"/>
      <c r="M71" s="57"/>
      <c r="N71" s="57"/>
      <c r="O71" s="57"/>
      <c r="P71" s="24"/>
      <c r="Q71" s="24"/>
      <c r="R71" s="6"/>
      <c r="S71" s="6"/>
      <c r="T71" s="6"/>
      <c r="U71" s="6"/>
      <c r="V71" s="6"/>
      <c r="W71" s="6"/>
      <c r="X71" s="6"/>
      <c r="Y71" s="6"/>
      <c r="Z71" s="6"/>
      <c r="AA71" s="68"/>
      <c r="AB71" s="68"/>
      <c r="AC71" s="6"/>
      <c r="AD71" s="95"/>
      <c r="AE71" s="99"/>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row>
    <row r="72" spans="1:252" s="96" customFormat="1" ht="15" hidden="1">
      <c r="A72" s="6"/>
      <c r="B72" s="57"/>
      <c r="C72" s="57"/>
      <c r="D72" s="57"/>
      <c r="E72" s="57"/>
      <c r="F72" s="57"/>
      <c r="G72" s="57"/>
      <c r="H72" s="57"/>
      <c r="I72" s="57"/>
      <c r="J72" s="57"/>
      <c r="K72" s="57"/>
      <c r="L72" s="57"/>
      <c r="M72" s="57"/>
      <c r="N72" s="57"/>
      <c r="O72" s="57"/>
      <c r="P72" s="24"/>
      <c r="Q72" s="24"/>
      <c r="R72" s="6"/>
      <c r="S72" s="6"/>
      <c r="T72" s="6"/>
      <c r="U72" s="6"/>
      <c r="V72" s="6"/>
      <c r="W72" s="6"/>
      <c r="X72" s="6"/>
      <c r="Y72" s="6"/>
      <c r="Z72" s="6"/>
      <c r="AA72" s="68"/>
      <c r="AB72" s="68"/>
      <c r="AC72" s="6"/>
      <c r="AD72" s="95"/>
      <c r="AE72" s="99"/>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row>
    <row r="73" spans="1:252" s="96" customFormat="1" ht="15" hidden="1">
      <c r="A73" s="6"/>
      <c r="B73" s="57"/>
      <c r="C73" s="57"/>
      <c r="D73" s="57"/>
      <c r="E73" s="57"/>
      <c r="F73" s="57"/>
      <c r="G73" s="57"/>
      <c r="H73" s="57"/>
      <c r="I73" s="57"/>
      <c r="J73" s="57"/>
      <c r="K73" s="57"/>
      <c r="L73" s="57"/>
      <c r="M73" s="57"/>
      <c r="N73" s="57"/>
      <c r="O73" s="57"/>
      <c r="P73" s="24"/>
      <c r="Q73" s="24"/>
      <c r="R73" s="6"/>
      <c r="S73" s="6"/>
      <c r="T73" s="6"/>
      <c r="U73" s="6"/>
      <c r="V73" s="6"/>
      <c r="W73" s="6"/>
      <c r="X73" s="6"/>
      <c r="Y73" s="6"/>
      <c r="Z73" s="6"/>
      <c r="AA73" s="68"/>
      <c r="AB73" s="68"/>
      <c r="AC73" s="6"/>
      <c r="AD73" s="95"/>
      <c r="AE73" s="99"/>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c r="HR73" s="3"/>
      <c r="HS73" s="3"/>
      <c r="HT73" s="3"/>
      <c r="HU73" s="3"/>
      <c r="HV73" s="3"/>
      <c r="HW73" s="3"/>
      <c r="HX73" s="3"/>
      <c r="HY73" s="3"/>
      <c r="HZ73" s="3"/>
      <c r="IA73" s="3"/>
      <c r="IB73" s="3"/>
      <c r="IC73" s="3"/>
      <c r="ID73" s="3"/>
      <c r="IE73" s="3"/>
      <c r="IF73" s="3"/>
      <c r="IG73" s="3"/>
      <c r="IH73" s="3"/>
      <c r="II73" s="3"/>
      <c r="IJ73" s="3"/>
      <c r="IK73" s="3"/>
      <c r="IL73" s="3"/>
      <c r="IM73" s="3"/>
      <c r="IN73" s="3"/>
      <c r="IO73" s="3"/>
      <c r="IP73" s="3"/>
      <c r="IQ73" s="3"/>
      <c r="IR73" s="3"/>
    </row>
    <row r="74" spans="1:252" s="96" customFormat="1" ht="15" hidden="1">
      <c r="A74" s="6"/>
      <c r="B74" s="57"/>
      <c r="C74" s="57"/>
      <c r="D74" s="57"/>
      <c r="E74" s="57"/>
      <c r="F74" s="57"/>
      <c r="G74" s="57"/>
      <c r="H74" s="57"/>
      <c r="I74" s="57"/>
      <c r="J74" s="57"/>
      <c r="K74" s="57"/>
      <c r="L74" s="57"/>
      <c r="M74" s="57"/>
      <c r="N74" s="57"/>
      <c r="O74" s="57"/>
      <c r="P74" s="24"/>
      <c r="Q74" s="24"/>
      <c r="R74" s="6"/>
      <c r="S74" s="6"/>
      <c r="T74" s="6"/>
      <c r="U74" s="6"/>
      <c r="V74" s="6"/>
      <c r="W74" s="6"/>
      <c r="X74" s="6"/>
      <c r="Y74" s="6"/>
      <c r="Z74" s="6"/>
      <c r="AA74" s="68"/>
      <c r="AB74" s="68"/>
      <c r="AC74" s="6"/>
      <c r="AD74" s="95"/>
      <c r="AE74" s="99"/>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row>
    <row r="75" spans="1:252" s="96" customFormat="1" ht="15" hidden="1">
      <c r="A75" s="6"/>
      <c r="B75" s="57"/>
      <c r="C75" s="57"/>
      <c r="D75" s="57"/>
      <c r="E75" s="57"/>
      <c r="F75" s="57"/>
      <c r="G75" s="57"/>
      <c r="H75" s="57"/>
      <c r="I75" s="57"/>
      <c r="J75" s="57"/>
      <c r="K75" s="57"/>
      <c r="L75" s="57"/>
      <c r="M75" s="57"/>
      <c r="N75" s="57"/>
      <c r="O75" s="57"/>
      <c r="P75" s="24"/>
      <c r="Q75" s="24"/>
      <c r="R75" s="6"/>
      <c r="S75" s="6"/>
      <c r="T75" s="6"/>
      <c r="U75" s="6"/>
      <c r="V75" s="6"/>
      <c r="W75" s="6"/>
      <c r="X75" s="6"/>
      <c r="Y75" s="6"/>
      <c r="Z75" s="6"/>
      <c r="AA75" s="68"/>
      <c r="AB75" s="68"/>
      <c r="AC75" s="6"/>
      <c r="AD75" s="95"/>
      <c r="AE75" s="99"/>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row>
    <row r="76" spans="1:252" s="96" customFormat="1" ht="15" hidden="1">
      <c r="A76" s="6"/>
      <c r="B76" s="57"/>
      <c r="C76" s="57"/>
      <c r="D76" s="57"/>
      <c r="E76" s="57"/>
      <c r="F76" s="57"/>
      <c r="G76" s="57"/>
      <c r="H76" s="57"/>
      <c r="I76" s="57"/>
      <c r="J76" s="57"/>
      <c r="K76" s="57"/>
      <c r="L76" s="57"/>
      <c r="M76" s="57"/>
      <c r="N76" s="57"/>
      <c r="O76" s="57"/>
      <c r="P76" s="24"/>
      <c r="Q76" s="24"/>
      <c r="R76" s="6"/>
      <c r="S76" s="6"/>
      <c r="T76" s="6"/>
      <c r="U76" s="6"/>
      <c r="V76" s="6"/>
      <c r="W76" s="6"/>
      <c r="X76" s="6"/>
      <c r="Y76" s="6"/>
      <c r="Z76" s="6"/>
      <c r="AA76" s="68"/>
      <c r="AB76" s="68"/>
      <c r="AC76" s="6"/>
      <c r="AD76" s="95"/>
      <c r="AE76" s="99"/>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row>
    <row r="77" spans="1:252" s="96" customFormat="1" ht="15" hidden="1">
      <c r="A77" s="6"/>
      <c r="B77" s="57"/>
      <c r="C77" s="57"/>
      <c r="D77" s="57"/>
      <c r="E77" s="57"/>
      <c r="F77" s="57"/>
      <c r="G77" s="57"/>
      <c r="H77" s="57"/>
      <c r="I77" s="57"/>
      <c r="J77" s="57"/>
      <c r="K77" s="57"/>
      <c r="L77" s="57"/>
      <c r="M77" s="57"/>
      <c r="N77" s="57"/>
      <c r="O77" s="57"/>
      <c r="P77" s="24"/>
      <c r="Q77" s="24"/>
      <c r="R77" s="6"/>
      <c r="S77" s="6"/>
      <c r="T77" s="6"/>
      <c r="U77" s="6"/>
      <c r="V77" s="6"/>
      <c r="W77" s="6"/>
      <c r="X77" s="6"/>
      <c r="Y77" s="6"/>
      <c r="Z77" s="6"/>
      <c r="AA77" s="68"/>
      <c r="AB77" s="68"/>
      <c r="AC77" s="6"/>
      <c r="AD77" s="95"/>
      <c r="AE77" s="99"/>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c r="HF77" s="3"/>
      <c r="HG77" s="3"/>
      <c r="HH77" s="3"/>
      <c r="HI77" s="3"/>
      <c r="HJ77" s="3"/>
      <c r="HK77" s="3"/>
      <c r="HL77" s="3"/>
      <c r="HM77" s="3"/>
      <c r="HN77" s="3"/>
      <c r="HO77" s="3"/>
      <c r="HP77" s="3"/>
      <c r="HQ77" s="3"/>
      <c r="HR77" s="3"/>
      <c r="HS77" s="3"/>
      <c r="HT77" s="3"/>
      <c r="HU77" s="3"/>
      <c r="HV77" s="3"/>
      <c r="HW77" s="3"/>
      <c r="HX77" s="3"/>
      <c r="HY77" s="3"/>
      <c r="HZ77" s="3"/>
      <c r="IA77" s="3"/>
      <c r="IB77" s="3"/>
      <c r="IC77" s="3"/>
      <c r="ID77" s="3"/>
      <c r="IE77" s="3"/>
      <c r="IF77" s="3"/>
      <c r="IG77" s="3"/>
      <c r="IH77" s="3"/>
      <c r="II77" s="3"/>
      <c r="IJ77" s="3"/>
      <c r="IK77" s="3"/>
      <c r="IL77" s="3"/>
      <c r="IM77" s="3"/>
      <c r="IN77" s="3"/>
      <c r="IO77" s="3"/>
      <c r="IP77" s="3"/>
      <c r="IQ77" s="3"/>
      <c r="IR77" s="3"/>
    </row>
    <row r="78" spans="1:252" s="96" customFormat="1" ht="15" hidden="1">
      <c r="A78" s="6"/>
      <c r="B78" s="57"/>
      <c r="C78" s="57"/>
      <c r="D78" s="57"/>
      <c r="E78" s="57"/>
      <c r="F78" s="57"/>
      <c r="G78" s="57"/>
      <c r="H78" s="57"/>
      <c r="I78" s="57"/>
      <c r="J78" s="57"/>
      <c r="K78" s="57"/>
      <c r="L78" s="57"/>
      <c r="M78" s="57"/>
      <c r="N78" s="57"/>
      <c r="O78" s="57"/>
      <c r="P78" s="24"/>
      <c r="Q78" s="24"/>
      <c r="R78" s="6"/>
      <c r="S78" s="6"/>
      <c r="T78" s="6"/>
      <c r="U78" s="6"/>
      <c r="V78" s="6"/>
      <c r="W78" s="6"/>
      <c r="X78" s="6"/>
      <c r="Y78" s="6"/>
      <c r="Z78" s="6"/>
      <c r="AA78" s="68"/>
      <c r="AB78" s="68"/>
      <c r="AC78" s="6"/>
      <c r="AD78" s="95"/>
      <c r="AE78" s="99"/>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c r="HF78" s="3"/>
      <c r="HG78" s="3"/>
      <c r="HH78" s="3"/>
      <c r="HI78" s="3"/>
      <c r="HJ78" s="3"/>
      <c r="HK78" s="3"/>
      <c r="HL78" s="3"/>
      <c r="HM78" s="3"/>
      <c r="HN78" s="3"/>
      <c r="HO78" s="3"/>
      <c r="HP78" s="3"/>
      <c r="HQ78" s="3"/>
      <c r="HR78" s="3"/>
      <c r="HS78" s="3"/>
      <c r="HT78" s="3"/>
      <c r="HU78" s="3"/>
      <c r="HV78" s="3"/>
      <c r="HW78" s="3"/>
      <c r="HX78" s="3"/>
      <c r="HY78" s="3"/>
      <c r="HZ78" s="3"/>
      <c r="IA78" s="3"/>
      <c r="IB78" s="3"/>
      <c r="IC78" s="3"/>
      <c r="ID78" s="3"/>
      <c r="IE78" s="3"/>
      <c r="IF78" s="3"/>
      <c r="IG78" s="3"/>
      <c r="IH78" s="3"/>
      <c r="II78" s="3"/>
      <c r="IJ78" s="3"/>
      <c r="IK78" s="3"/>
      <c r="IL78" s="3"/>
      <c r="IM78" s="3"/>
      <c r="IN78" s="3"/>
      <c r="IO78" s="3"/>
      <c r="IP78" s="3"/>
      <c r="IQ78" s="3"/>
      <c r="IR78" s="3"/>
    </row>
    <row r="79" spans="1:252" s="96" customFormat="1" ht="15" hidden="1">
      <c r="A79" s="6"/>
      <c r="B79" s="57"/>
      <c r="C79" s="57"/>
      <c r="D79" s="57"/>
      <c r="E79" s="57"/>
      <c r="F79" s="57"/>
      <c r="G79" s="57"/>
      <c r="H79" s="57"/>
      <c r="I79" s="57"/>
      <c r="J79" s="57"/>
      <c r="K79" s="57"/>
      <c r="L79" s="57"/>
      <c r="M79" s="57"/>
      <c r="N79" s="57"/>
      <c r="O79" s="57"/>
      <c r="P79" s="24"/>
      <c r="Q79" s="24"/>
      <c r="R79" s="6"/>
      <c r="S79" s="6"/>
      <c r="T79" s="6"/>
      <c r="U79" s="6"/>
      <c r="V79" s="6"/>
      <c r="W79" s="6"/>
      <c r="X79" s="6"/>
      <c r="Y79" s="6"/>
      <c r="Z79" s="6"/>
      <c r="AA79" s="68"/>
      <c r="AB79" s="68"/>
      <c r="AC79" s="6"/>
      <c r="AD79" s="95"/>
      <c r="AE79" s="99"/>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c r="HF79" s="3"/>
      <c r="HG79" s="3"/>
      <c r="HH79" s="3"/>
      <c r="HI79" s="3"/>
      <c r="HJ79" s="3"/>
      <c r="HK79" s="3"/>
      <c r="HL79" s="3"/>
      <c r="HM79" s="3"/>
      <c r="HN79" s="3"/>
      <c r="HO79" s="3"/>
      <c r="HP79" s="3"/>
      <c r="HQ79" s="3"/>
      <c r="HR79" s="3"/>
      <c r="HS79" s="3"/>
      <c r="HT79" s="3"/>
      <c r="HU79" s="3"/>
      <c r="HV79" s="3"/>
      <c r="HW79" s="3"/>
      <c r="HX79" s="3"/>
      <c r="HY79" s="3"/>
      <c r="HZ79" s="3"/>
      <c r="IA79" s="3"/>
      <c r="IB79" s="3"/>
      <c r="IC79" s="3"/>
      <c r="ID79" s="3"/>
      <c r="IE79" s="3"/>
      <c r="IF79" s="3"/>
      <c r="IG79" s="3"/>
      <c r="IH79" s="3"/>
      <c r="II79" s="3"/>
      <c r="IJ79" s="3"/>
      <c r="IK79" s="3"/>
      <c r="IL79" s="3"/>
      <c r="IM79" s="3"/>
      <c r="IN79" s="3"/>
      <c r="IO79" s="3"/>
      <c r="IP79" s="3"/>
      <c r="IQ79" s="3"/>
      <c r="IR79" s="3"/>
    </row>
    <row r="80" spans="1:252" s="96" customFormat="1" ht="15" hidden="1">
      <c r="A80" s="6"/>
      <c r="B80" s="57"/>
      <c r="C80" s="57"/>
      <c r="D80" s="57"/>
      <c r="E80" s="57"/>
      <c r="F80" s="57"/>
      <c r="G80" s="57"/>
      <c r="H80" s="57"/>
      <c r="I80" s="57"/>
      <c r="J80" s="57"/>
      <c r="K80" s="57"/>
      <c r="L80" s="57"/>
      <c r="M80" s="57"/>
      <c r="N80" s="57"/>
      <c r="O80" s="57"/>
      <c r="P80" s="24"/>
      <c r="Q80" s="24"/>
      <c r="R80" s="6"/>
      <c r="S80" s="6"/>
      <c r="T80" s="6"/>
      <c r="U80" s="6"/>
      <c r="V80" s="6"/>
      <c r="W80" s="6"/>
      <c r="X80" s="6"/>
      <c r="Y80" s="6"/>
      <c r="Z80" s="6"/>
      <c r="AA80" s="68"/>
      <c r="AB80" s="68"/>
      <c r="AC80" s="6"/>
      <c r="AD80" s="95"/>
      <c r="AE80" s="99"/>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c r="HF80" s="3"/>
      <c r="HG80" s="3"/>
      <c r="HH80" s="3"/>
      <c r="HI80" s="3"/>
      <c r="HJ80" s="3"/>
      <c r="HK80" s="3"/>
      <c r="HL80" s="3"/>
      <c r="HM80" s="3"/>
      <c r="HN80" s="3"/>
      <c r="HO80" s="3"/>
      <c r="HP80" s="3"/>
      <c r="HQ80" s="3"/>
      <c r="HR80" s="3"/>
      <c r="HS80" s="3"/>
      <c r="HT80" s="3"/>
      <c r="HU80" s="3"/>
      <c r="HV80" s="3"/>
      <c r="HW80" s="3"/>
      <c r="HX80" s="3"/>
      <c r="HY80" s="3"/>
      <c r="HZ80" s="3"/>
      <c r="IA80" s="3"/>
      <c r="IB80" s="3"/>
      <c r="IC80" s="3"/>
      <c r="ID80" s="3"/>
      <c r="IE80" s="3"/>
      <c r="IF80" s="3"/>
      <c r="IG80" s="3"/>
      <c r="IH80" s="3"/>
      <c r="II80" s="3"/>
      <c r="IJ80" s="3"/>
      <c r="IK80" s="3"/>
      <c r="IL80" s="3"/>
      <c r="IM80" s="3"/>
      <c r="IN80" s="3"/>
      <c r="IO80" s="3"/>
      <c r="IP80" s="3"/>
      <c r="IQ80" s="3"/>
      <c r="IR80" s="3"/>
    </row>
  </sheetData>
  <sheetProtection password="EE1F" sheet="1" objects="1" scenarios="1" selectLockedCells="1"/>
  <protectedRanges>
    <protectedRange sqref="M7 F12 I13:M13 F16 E17 I17:M17 F22:H52 L23:P52 C22:C52" name="Eingabebereich"/>
  </protectedRanges>
  <mergeCells count="47">
    <mergeCell ref="L21:P21"/>
    <mergeCell ref="B2:H2"/>
    <mergeCell ref="I2:J2"/>
    <mergeCell ref="K2:L2"/>
    <mergeCell ref="E5:H5"/>
    <mergeCell ref="M5:O5"/>
    <mergeCell ref="E7:H7"/>
    <mergeCell ref="M7:O7"/>
    <mergeCell ref="E17:F17"/>
    <mergeCell ref="C20:E20"/>
    <mergeCell ref="F20:H20"/>
    <mergeCell ref="I20:K20"/>
    <mergeCell ref="L20:P20"/>
    <mergeCell ref="L33:P33"/>
    <mergeCell ref="L22:P22"/>
    <mergeCell ref="L23:P23"/>
    <mergeCell ref="L24:P24"/>
    <mergeCell ref="L25:P25"/>
    <mergeCell ref="L26:P26"/>
    <mergeCell ref="L27:P27"/>
    <mergeCell ref="L28:P28"/>
    <mergeCell ref="L29:P29"/>
    <mergeCell ref="L30:P30"/>
    <mergeCell ref="L31:P31"/>
    <mergeCell ref="L32:P32"/>
    <mergeCell ref="L45:P45"/>
    <mergeCell ref="L34:P34"/>
    <mergeCell ref="L35:P35"/>
    <mergeCell ref="L36:P36"/>
    <mergeCell ref="L37:P37"/>
    <mergeCell ref="L38:P38"/>
    <mergeCell ref="L39:P39"/>
    <mergeCell ref="L40:P40"/>
    <mergeCell ref="L41:P41"/>
    <mergeCell ref="L42:P42"/>
    <mergeCell ref="L43:P43"/>
    <mergeCell ref="L44:P44"/>
    <mergeCell ref="L52:P52"/>
    <mergeCell ref="K55:O55"/>
    <mergeCell ref="C60:G60"/>
    <mergeCell ref="L60:P60"/>
    <mergeCell ref="L46:P46"/>
    <mergeCell ref="L47:P47"/>
    <mergeCell ref="L48:P48"/>
    <mergeCell ref="L49:P49"/>
    <mergeCell ref="L50:P50"/>
    <mergeCell ref="L51:P51"/>
  </mergeCells>
  <conditionalFormatting sqref="L23:L39 L44:L52 C22:I52">
    <cfRule type="expression" dxfId="1556" priority="328" stopIfTrue="1">
      <formula>OR(($A22="Samstag"),($A22="Sonntag"),($AA22=TRUE()))</formula>
    </cfRule>
  </conditionalFormatting>
  <conditionalFormatting sqref="B22:B52">
    <cfRule type="expression" dxfId="1555" priority="204" stopIfTrue="1">
      <formula>$AA22=TRUE()</formula>
    </cfRule>
    <cfRule type="expression" dxfId="1554" priority="208" stopIfTrue="1">
      <formula>OR(($A22="Samstag"),($A22="Sonntag"))</formula>
    </cfRule>
    <cfRule type="expression" dxfId="1553" priority="209" stopIfTrue="1">
      <formula>AND($E$17&lt;&gt;"",$B22&gt;=$E$17)</formula>
    </cfRule>
  </conditionalFormatting>
  <conditionalFormatting sqref="F32:H32 L23:L39">
    <cfRule type="expression" dxfId="1552" priority="327" stopIfTrue="1">
      <formula>OR(($A23="Samstag"),($A23="Sonntag"))</formula>
    </cfRule>
  </conditionalFormatting>
  <conditionalFormatting sqref="F32:H32">
    <cfRule type="expression" dxfId="1551" priority="326" stopIfTrue="1">
      <formula>OR(($A32="Samstag"),($A32="Sonntag"))</formula>
    </cfRule>
  </conditionalFormatting>
  <conditionalFormatting sqref="F52:H52">
    <cfRule type="expression" dxfId="1550" priority="315" stopIfTrue="1">
      <formula>OR(($A52="Samstag"),($A52="Sonntag"))</formula>
    </cfRule>
  </conditionalFormatting>
  <conditionalFormatting sqref="F52:H52">
    <cfRule type="expression" dxfId="1549" priority="314" stopIfTrue="1">
      <formula>OR(($A52="Samstag"),($A52="Sonntag"))</formula>
    </cfRule>
  </conditionalFormatting>
  <conditionalFormatting sqref="F46:H46">
    <cfRule type="expression" dxfId="1548" priority="318" stopIfTrue="1">
      <formula>OR(($A46="Samstag"),($A46="Sonntag"))</formula>
    </cfRule>
  </conditionalFormatting>
  <conditionalFormatting sqref="F32:H32">
    <cfRule type="expression" dxfId="1547" priority="322" stopIfTrue="1">
      <formula>OR(($A32="Samstag"),($A32="Sonntag"))</formula>
    </cfRule>
  </conditionalFormatting>
  <conditionalFormatting sqref="F24:H25">
    <cfRule type="expression" dxfId="1546" priority="325" stopIfTrue="1">
      <formula>OR(($A24="Samstag"),($A24="Sonntag"))</formula>
    </cfRule>
  </conditionalFormatting>
  <conditionalFormatting sqref="F24:H24">
    <cfRule type="expression" dxfId="1545" priority="324" stopIfTrue="1">
      <formula>OR(($A24="Samstag"),($A24="Sonntag"))</formula>
    </cfRule>
  </conditionalFormatting>
  <conditionalFormatting sqref="F25:H25">
    <cfRule type="expression" dxfId="1544" priority="323" stopIfTrue="1">
      <formula>OR(($A25="Samstag"),($A25="Sonntag"))</formula>
    </cfRule>
  </conditionalFormatting>
  <conditionalFormatting sqref="F39:H39">
    <cfRule type="expression" dxfId="1543" priority="320" stopIfTrue="1">
      <formula>OR(($A39="Samstag"),($A39="Sonntag"))</formula>
    </cfRule>
  </conditionalFormatting>
  <conditionalFormatting sqref="F39:H39">
    <cfRule type="expression" dxfId="1542" priority="321" stopIfTrue="1">
      <formula>OR(($A39="Samstag"),($A39="Sonntag"))</formula>
    </cfRule>
  </conditionalFormatting>
  <conditionalFormatting sqref="F39:H39">
    <cfRule type="expression" dxfId="1541" priority="319" stopIfTrue="1">
      <formula>OR(($A39="Samstag"),($A39="Sonntag"))</formula>
    </cfRule>
  </conditionalFormatting>
  <conditionalFormatting sqref="F46:H46">
    <cfRule type="expression" dxfId="1540" priority="317" stopIfTrue="1">
      <formula>OR(($A46="Samstag"),($A46="Sonntag"))</formula>
    </cfRule>
  </conditionalFormatting>
  <conditionalFormatting sqref="F46:H46">
    <cfRule type="expression" dxfId="1539" priority="316" stopIfTrue="1">
      <formula>OR(($A46="Samstag"),($A46="Sonntag"))</formula>
    </cfRule>
  </conditionalFormatting>
  <conditionalFormatting sqref="F22:H52">
    <cfRule type="expression" dxfId="1538" priority="313" stopIfTrue="1">
      <formula>OR(($A22="Samstag"),($A22="Sonntag"))</formula>
    </cfRule>
  </conditionalFormatting>
  <conditionalFormatting sqref="F22:H52">
    <cfRule type="expression" dxfId="1537" priority="312" stopIfTrue="1">
      <formula>OR(($A22="Samstag"),($A22="Sonntag"))</formula>
    </cfRule>
  </conditionalFormatting>
  <conditionalFormatting sqref="G23">
    <cfRule type="expression" dxfId="1536" priority="311" stopIfTrue="1">
      <formula>OR(($A23="Samstag"),($A23="Sonntag"))</formula>
    </cfRule>
  </conditionalFormatting>
  <conditionalFormatting sqref="G23">
    <cfRule type="expression" dxfId="1535" priority="310" stopIfTrue="1">
      <formula>OR(($A23="Samstag"),($A23="Sonntag"))</formula>
    </cfRule>
  </conditionalFormatting>
  <conditionalFormatting sqref="F31:H31">
    <cfRule type="expression" dxfId="1534" priority="309" stopIfTrue="1">
      <formula>OR(($A31="Samstag"),($A31="Sonntag"))</formula>
    </cfRule>
  </conditionalFormatting>
  <conditionalFormatting sqref="F31:H31">
    <cfRule type="expression" dxfId="1533" priority="308" stopIfTrue="1">
      <formula>OR(($A31="Samstag"),($A31="Sonntag"))</formula>
    </cfRule>
  </conditionalFormatting>
  <conditionalFormatting sqref="F38:H38">
    <cfRule type="expression" dxfId="1532" priority="307" stopIfTrue="1">
      <formula>OR(($A38="Samstag"),($A38="Sonntag"))</formula>
    </cfRule>
  </conditionalFormatting>
  <conditionalFormatting sqref="F38:H38">
    <cfRule type="expression" dxfId="1531" priority="306" stopIfTrue="1">
      <formula>OR(($A38="Samstag"),($A38="Sonntag"))</formula>
    </cfRule>
  </conditionalFormatting>
  <conditionalFormatting sqref="F45:H45">
    <cfRule type="expression" dxfId="1530" priority="305" stopIfTrue="1">
      <formula>OR(($A45="Samstag"),($A45="Sonntag"))</formula>
    </cfRule>
  </conditionalFormatting>
  <conditionalFormatting sqref="F45:H45">
    <cfRule type="expression" dxfId="1529" priority="304" stopIfTrue="1">
      <formula>OR(($A45="Samstag"),($A45="Sonntag"))</formula>
    </cfRule>
  </conditionalFormatting>
  <conditionalFormatting sqref="G26:G30">
    <cfRule type="expression" dxfId="1528" priority="303" stopIfTrue="1">
      <formula>OR(($A26="Samstag"),($A26="Sonntag"))</formula>
    </cfRule>
  </conditionalFormatting>
  <conditionalFormatting sqref="G26:G30">
    <cfRule type="expression" dxfId="1527" priority="302" stopIfTrue="1">
      <formula>OR(($A26="Samstag"),($A26="Sonntag"))</formula>
    </cfRule>
  </conditionalFormatting>
  <conditionalFormatting sqref="G33:G37">
    <cfRule type="expression" dxfId="1526" priority="301" stopIfTrue="1">
      <formula>OR(($A33="Samstag"),($A33="Sonntag"))</formula>
    </cfRule>
  </conditionalFormatting>
  <conditionalFormatting sqref="G33:G37">
    <cfRule type="expression" dxfId="1525" priority="300" stopIfTrue="1">
      <formula>OR(($A33="Samstag"),($A33="Sonntag"))</formula>
    </cfRule>
  </conditionalFormatting>
  <conditionalFormatting sqref="G40:G44">
    <cfRule type="expression" dxfId="1524" priority="299" stopIfTrue="1">
      <formula>OR(($A40="Samstag"),($A40="Sonntag"))</formula>
    </cfRule>
  </conditionalFormatting>
  <conditionalFormatting sqref="G40:G44">
    <cfRule type="expression" dxfId="1523" priority="298" stopIfTrue="1">
      <formula>OR(($A40="Samstag"),($A40="Sonntag"))</formula>
    </cfRule>
  </conditionalFormatting>
  <conditionalFormatting sqref="G47:G51">
    <cfRule type="expression" dxfId="1522" priority="297" stopIfTrue="1">
      <formula>OR(($A47="Samstag"),($A47="Sonntag"))</formula>
    </cfRule>
  </conditionalFormatting>
  <conditionalFormatting sqref="G47:G51">
    <cfRule type="expression" dxfId="1521" priority="296" stopIfTrue="1">
      <formula>OR(($A47="Samstag"),($A47="Sonntag"))</formula>
    </cfRule>
  </conditionalFormatting>
  <conditionalFormatting sqref="F23:H23">
    <cfRule type="expression" dxfId="1520" priority="295" stopIfTrue="1">
      <formula>OR(($A23="Samstag"),($A23="Sonntag"))</formula>
    </cfRule>
  </conditionalFormatting>
  <conditionalFormatting sqref="F23:H23">
    <cfRule type="expression" dxfId="1519" priority="294" stopIfTrue="1">
      <formula>OR(($A23="Samstag"),($A23="Sonntag"))</formula>
    </cfRule>
  </conditionalFormatting>
  <conditionalFormatting sqref="F26:H30">
    <cfRule type="expression" dxfId="1518" priority="293" stopIfTrue="1">
      <formula>OR(($A26="Samstag"),($A26="Sonntag"))</formula>
    </cfRule>
  </conditionalFormatting>
  <conditionalFormatting sqref="F26:H30">
    <cfRule type="expression" dxfId="1517" priority="292" stopIfTrue="1">
      <formula>OR(($A26="Samstag"),($A26="Sonntag"))</formula>
    </cfRule>
  </conditionalFormatting>
  <conditionalFormatting sqref="F33:H37">
    <cfRule type="expression" dxfId="1516" priority="291" stopIfTrue="1">
      <formula>OR(($A33="Samstag"),($A33="Sonntag"))</formula>
    </cfRule>
  </conditionalFormatting>
  <conditionalFormatting sqref="F33:H37">
    <cfRule type="expression" dxfId="1515" priority="290" stopIfTrue="1">
      <formula>OR(($A33="Samstag"),($A33="Sonntag"))</formula>
    </cfRule>
  </conditionalFormatting>
  <conditionalFormatting sqref="F40:H44">
    <cfRule type="expression" dxfId="1514" priority="289" stopIfTrue="1">
      <formula>OR(($A40="Samstag"),($A40="Sonntag"))</formula>
    </cfRule>
  </conditionalFormatting>
  <conditionalFormatting sqref="F40:H44">
    <cfRule type="expression" dxfId="1513" priority="288" stopIfTrue="1">
      <formula>OR(($A40="Samstag"),($A40="Sonntag"))</formula>
    </cfRule>
  </conditionalFormatting>
  <conditionalFormatting sqref="H40:H44">
    <cfRule type="expression" dxfId="1512" priority="279" stopIfTrue="1">
      <formula>OR(($A40="Samstag"),($A40="Sonntag"))</formula>
    </cfRule>
  </conditionalFormatting>
  <conditionalFormatting sqref="H40:H44">
    <cfRule type="expression" dxfId="1511" priority="278" stopIfTrue="1">
      <formula>OR(($A40="Samstag"),($A40="Sonntag"))</formula>
    </cfRule>
  </conditionalFormatting>
  <conditionalFormatting sqref="F47:H51">
    <cfRule type="expression" dxfId="1510" priority="287" stopIfTrue="1">
      <formula>OR(($A47="Samstag"),($A47="Sonntag"))</formula>
    </cfRule>
  </conditionalFormatting>
  <conditionalFormatting sqref="F47:H51">
    <cfRule type="expression" dxfId="1509" priority="286" stopIfTrue="1">
      <formula>OR(($A47="Samstag"),($A47="Sonntag"))</formula>
    </cfRule>
  </conditionalFormatting>
  <conditionalFormatting sqref="H23">
    <cfRule type="expression" dxfId="1508" priority="285" stopIfTrue="1">
      <formula>OR(($A23="Samstag"),($A23="Sonntag"))</formula>
    </cfRule>
  </conditionalFormatting>
  <conditionalFormatting sqref="H23">
    <cfRule type="expression" dxfId="1507" priority="284" stopIfTrue="1">
      <formula>OR(($A23="Samstag"),($A23="Sonntag"))</formula>
    </cfRule>
  </conditionalFormatting>
  <conditionalFormatting sqref="H26:H30">
    <cfRule type="expression" dxfId="1506" priority="283" stopIfTrue="1">
      <formula>OR(($A26="Samstag"),($A26="Sonntag"))</formula>
    </cfRule>
  </conditionalFormatting>
  <conditionalFormatting sqref="H26:H30">
    <cfRule type="expression" dxfId="1505" priority="282" stopIfTrue="1">
      <formula>OR(($A26="Samstag"),($A26="Sonntag"))</formula>
    </cfRule>
  </conditionalFormatting>
  <conditionalFormatting sqref="H33:H37">
    <cfRule type="expression" dxfId="1504" priority="281" stopIfTrue="1">
      <formula>OR(($A33="Samstag"),($A33="Sonntag"))</formula>
    </cfRule>
  </conditionalFormatting>
  <conditionalFormatting sqref="H33:H37">
    <cfRule type="expression" dxfId="1503" priority="280" stopIfTrue="1">
      <formula>OR(($A33="Samstag"),($A33="Sonntag"))</formula>
    </cfRule>
  </conditionalFormatting>
  <conditionalFormatting sqref="H47:H51">
    <cfRule type="expression" dxfId="1502" priority="277" stopIfTrue="1">
      <formula>OR(($A47="Samstag"),($A47="Sonntag"))</formula>
    </cfRule>
  </conditionalFormatting>
  <conditionalFormatting sqref="H47:H51">
    <cfRule type="expression" dxfId="1501" priority="276" stopIfTrue="1">
      <formula>OR(($A47="Samstag"),($A47="Sonntag"))</formula>
    </cfRule>
  </conditionalFormatting>
  <conditionalFormatting sqref="I22:I52">
    <cfRule type="expression" dxfId="1500" priority="261" stopIfTrue="1">
      <formula>OR(($A22="Samstag"),($A22="Sonntag"))</formula>
    </cfRule>
  </conditionalFormatting>
  <conditionalFormatting sqref="I22:I52">
    <cfRule type="expression" dxfId="1499" priority="260" stopIfTrue="1">
      <formula>OR(($A22="Samstag"),($A22="Sonntag"))</formula>
    </cfRule>
  </conditionalFormatting>
  <conditionalFormatting sqref="N13 N17">
    <cfRule type="cellIs" dxfId="1498" priority="210" stopIfTrue="1" operator="equal">
      <formula>0</formula>
    </cfRule>
  </conditionalFormatting>
  <conditionalFormatting sqref="N13">
    <cfRule type="cellIs" dxfId="1497" priority="330" stopIfTrue="1" operator="equal">
      <formula>$F$12</formula>
    </cfRule>
    <cfRule type="cellIs" dxfId="1496" priority="331" stopIfTrue="1" operator="notEqual">
      <formula>$F$12</formula>
    </cfRule>
  </conditionalFormatting>
  <conditionalFormatting sqref="N17">
    <cfRule type="cellIs" dxfId="1495" priority="211" stopIfTrue="1" operator="notEqual">
      <formula>$F$16</formula>
    </cfRule>
    <cfRule type="cellIs" dxfId="1494" priority="329" stopIfTrue="1" operator="equal">
      <formula>$F$16</formula>
    </cfRule>
  </conditionalFormatting>
  <conditionalFormatting sqref="I23:I52">
    <cfRule type="expression" dxfId="1493" priority="207" stopIfTrue="1">
      <formula>OR(($A23="Samstag"),($A23="Sonntag"))</formula>
    </cfRule>
  </conditionalFormatting>
  <conditionalFormatting sqref="I23:I52">
    <cfRule type="expression" dxfId="1492" priority="206" stopIfTrue="1">
      <formula>OR(($A23="Samstag"),($A23="Sonntag"))</formula>
    </cfRule>
  </conditionalFormatting>
  <conditionalFormatting sqref="K55:N55">
    <cfRule type="expression" dxfId="1491" priority="205" stopIfTrue="1">
      <formula>OR(($A55="Samstag"),($A55="Sonntag"))</formula>
    </cfRule>
  </conditionalFormatting>
  <conditionalFormatting sqref="G32">
    <cfRule type="expression" dxfId="1490" priority="203" stopIfTrue="1">
      <formula>OR(($A32="Samstag"),($A32="Sonntag"))</formula>
    </cfRule>
  </conditionalFormatting>
  <conditionalFormatting sqref="G32">
    <cfRule type="expression" dxfId="1489" priority="202" stopIfTrue="1">
      <formula>OR(($A32="Samstag"),($A32="Sonntag"))</formula>
    </cfRule>
  </conditionalFormatting>
  <conditionalFormatting sqref="G52">
    <cfRule type="expression" dxfId="1488" priority="191" stopIfTrue="1">
      <formula>OR(($A52="Samstag"),($A52="Sonntag"))</formula>
    </cfRule>
  </conditionalFormatting>
  <conditionalFormatting sqref="G52">
    <cfRule type="expression" dxfId="1487" priority="190" stopIfTrue="1">
      <formula>OR(($A52="Samstag"),($A52="Sonntag"))</formula>
    </cfRule>
  </conditionalFormatting>
  <conditionalFormatting sqref="G46">
    <cfRule type="expression" dxfId="1486" priority="194" stopIfTrue="1">
      <formula>OR(($A46="Samstag"),($A46="Sonntag"))</formula>
    </cfRule>
  </conditionalFormatting>
  <conditionalFormatting sqref="G32">
    <cfRule type="expression" dxfId="1485" priority="198" stopIfTrue="1">
      <formula>OR(($A32="Samstag"),($A32="Sonntag"))</formula>
    </cfRule>
  </conditionalFormatting>
  <conditionalFormatting sqref="G24:G25">
    <cfRule type="expression" dxfId="1484" priority="201" stopIfTrue="1">
      <formula>OR(($A24="Samstag"),($A24="Sonntag"))</formula>
    </cfRule>
  </conditionalFormatting>
  <conditionalFormatting sqref="G24">
    <cfRule type="expression" dxfId="1483" priority="200" stopIfTrue="1">
      <formula>OR(($A24="Samstag"),($A24="Sonntag"))</formula>
    </cfRule>
  </conditionalFormatting>
  <conditionalFormatting sqref="G25">
    <cfRule type="expression" dxfId="1482" priority="199" stopIfTrue="1">
      <formula>OR(($A25="Samstag"),($A25="Sonntag"))</formula>
    </cfRule>
  </conditionalFormatting>
  <conditionalFormatting sqref="G39">
    <cfRule type="expression" dxfId="1481" priority="196" stopIfTrue="1">
      <formula>OR(($A39="Samstag"),($A39="Sonntag"))</formula>
    </cfRule>
  </conditionalFormatting>
  <conditionalFormatting sqref="G39">
    <cfRule type="expression" dxfId="1480" priority="197" stopIfTrue="1">
      <formula>OR(($A39="Samstag"),($A39="Sonntag"))</formula>
    </cfRule>
  </conditionalFormatting>
  <conditionalFormatting sqref="G39">
    <cfRule type="expression" dxfId="1479" priority="195" stopIfTrue="1">
      <formula>OR(($A39="Samstag"),($A39="Sonntag"))</formula>
    </cfRule>
  </conditionalFormatting>
  <conditionalFormatting sqref="G46">
    <cfRule type="expression" dxfId="1478" priority="193" stopIfTrue="1">
      <formula>OR(($A46="Samstag"),($A46="Sonntag"))</formula>
    </cfRule>
  </conditionalFormatting>
  <conditionalFormatting sqref="G46">
    <cfRule type="expression" dxfId="1477" priority="192" stopIfTrue="1">
      <formula>OR(($A46="Samstag"),($A46="Sonntag"))</formula>
    </cfRule>
  </conditionalFormatting>
  <conditionalFormatting sqref="F22:H52">
    <cfRule type="expression" dxfId="1476" priority="189" stopIfTrue="1">
      <formula>OR(($A22="Samstag"),($A22="Sonntag"))</formula>
    </cfRule>
  </conditionalFormatting>
  <conditionalFormatting sqref="F22:H52">
    <cfRule type="expression" dxfId="1475" priority="188" stopIfTrue="1">
      <formula>OR(($A22="Samstag"),($A22="Sonntag"))</formula>
    </cfRule>
  </conditionalFormatting>
  <conditionalFormatting sqref="G31">
    <cfRule type="expression" dxfId="1474" priority="187" stopIfTrue="1">
      <formula>OR(($A31="Samstag"),($A31="Sonntag"))</formula>
    </cfRule>
  </conditionalFormatting>
  <conditionalFormatting sqref="G31">
    <cfRule type="expression" dxfId="1473" priority="186" stopIfTrue="1">
      <formula>OR(($A31="Samstag"),($A31="Sonntag"))</formula>
    </cfRule>
  </conditionalFormatting>
  <conditionalFormatting sqref="G38">
    <cfRule type="expression" dxfId="1472" priority="185" stopIfTrue="1">
      <formula>OR(($A38="Samstag"),($A38="Sonntag"))</formula>
    </cfRule>
  </conditionalFormatting>
  <conditionalFormatting sqref="G38">
    <cfRule type="expression" dxfId="1471" priority="184" stopIfTrue="1">
      <formula>OR(($A38="Samstag"),($A38="Sonntag"))</formula>
    </cfRule>
  </conditionalFormatting>
  <conditionalFormatting sqref="G45">
    <cfRule type="expression" dxfId="1470" priority="183" stopIfTrue="1">
      <formula>OR(($A45="Samstag"),($A45="Sonntag"))</formula>
    </cfRule>
  </conditionalFormatting>
  <conditionalFormatting sqref="G45">
    <cfRule type="expression" dxfId="1469" priority="182" stopIfTrue="1">
      <formula>OR(($A45="Samstag"),($A45="Sonntag"))</formula>
    </cfRule>
  </conditionalFormatting>
  <conditionalFormatting sqref="G40:G44">
    <cfRule type="expression" dxfId="1468" priority="175" stopIfTrue="1">
      <formula>OR(($A40="Samstag"),($A40="Sonntag"))</formula>
    </cfRule>
  </conditionalFormatting>
  <conditionalFormatting sqref="G40:G44">
    <cfRule type="expression" dxfId="1467" priority="174" stopIfTrue="1">
      <formula>OR(($A40="Samstag"),($A40="Sonntag"))</formula>
    </cfRule>
  </conditionalFormatting>
  <conditionalFormatting sqref="G23">
    <cfRule type="expression" dxfId="1466" priority="181" stopIfTrue="1">
      <formula>OR(($A23="Samstag"),($A23="Sonntag"))</formula>
    </cfRule>
  </conditionalFormatting>
  <conditionalFormatting sqref="G23">
    <cfRule type="expression" dxfId="1465" priority="180" stopIfTrue="1">
      <formula>OR(($A23="Samstag"),($A23="Sonntag"))</formula>
    </cfRule>
  </conditionalFormatting>
  <conditionalFormatting sqref="G26:G30">
    <cfRule type="expression" dxfId="1464" priority="179" stopIfTrue="1">
      <formula>OR(($A26="Samstag"),($A26="Sonntag"))</formula>
    </cfRule>
  </conditionalFormatting>
  <conditionalFormatting sqref="G26:G30">
    <cfRule type="expression" dxfId="1463" priority="178" stopIfTrue="1">
      <formula>OR(($A26="Samstag"),($A26="Sonntag"))</formula>
    </cfRule>
  </conditionalFormatting>
  <conditionalFormatting sqref="G33:G37">
    <cfRule type="expression" dxfId="1462" priority="177" stopIfTrue="1">
      <formula>OR(($A33="Samstag"),($A33="Sonntag"))</formula>
    </cfRule>
  </conditionalFormatting>
  <conditionalFormatting sqref="G33:G37">
    <cfRule type="expression" dxfId="1461" priority="176" stopIfTrue="1">
      <formula>OR(($A33="Samstag"),($A33="Sonntag"))</formula>
    </cfRule>
  </conditionalFormatting>
  <conditionalFormatting sqref="G47:G51">
    <cfRule type="expression" dxfId="1460" priority="173" stopIfTrue="1">
      <formula>OR(($A47="Samstag"),($A47="Sonntag"))</formula>
    </cfRule>
  </conditionalFormatting>
  <conditionalFormatting sqref="G47:G51">
    <cfRule type="expression" dxfId="1459" priority="172" stopIfTrue="1">
      <formula>OR(($A47="Samstag"),($A47="Sonntag"))</formula>
    </cfRule>
  </conditionalFormatting>
  <conditionalFormatting sqref="H32">
    <cfRule type="expression" dxfId="1458" priority="171" stopIfTrue="1">
      <formula>OR(($A32="Samstag"),($A32="Sonntag"))</formula>
    </cfRule>
  </conditionalFormatting>
  <conditionalFormatting sqref="H32">
    <cfRule type="expression" dxfId="1457" priority="170" stopIfTrue="1">
      <formula>OR(($A32="Samstag"),($A32="Sonntag"))</formula>
    </cfRule>
  </conditionalFormatting>
  <conditionalFormatting sqref="H52">
    <cfRule type="expression" dxfId="1456" priority="159" stopIfTrue="1">
      <formula>OR(($A52="Samstag"),($A52="Sonntag"))</formula>
    </cfRule>
  </conditionalFormatting>
  <conditionalFormatting sqref="H52">
    <cfRule type="expression" dxfId="1455" priority="158" stopIfTrue="1">
      <formula>OR(($A52="Samstag"),($A52="Sonntag"))</formula>
    </cfRule>
  </conditionalFormatting>
  <conditionalFormatting sqref="H46">
    <cfRule type="expression" dxfId="1454" priority="162" stopIfTrue="1">
      <formula>OR(($A46="Samstag"),($A46="Sonntag"))</formula>
    </cfRule>
  </conditionalFormatting>
  <conditionalFormatting sqref="H32">
    <cfRule type="expression" dxfId="1453" priority="166" stopIfTrue="1">
      <formula>OR(($A32="Samstag"),($A32="Sonntag"))</formula>
    </cfRule>
  </conditionalFormatting>
  <conditionalFormatting sqref="H24:H25">
    <cfRule type="expression" dxfId="1452" priority="169" stopIfTrue="1">
      <formula>OR(($A24="Samstag"),($A24="Sonntag"))</formula>
    </cfRule>
  </conditionalFormatting>
  <conditionalFormatting sqref="H24">
    <cfRule type="expression" dxfId="1451" priority="168" stopIfTrue="1">
      <formula>OR(($A24="Samstag"),($A24="Sonntag"))</formula>
    </cfRule>
  </conditionalFormatting>
  <conditionalFormatting sqref="H25">
    <cfRule type="expression" dxfId="1450" priority="167" stopIfTrue="1">
      <formula>OR(($A25="Samstag"),($A25="Sonntag"))</formula>
    </cfRule>
  </conditionalFormatting>
  <conditionalFormatting sqref="H39">
    <cfRule type="expression" dxfId="1449" priority="164" stopIfTrue="1">
      <formula>OR(($A39="Samstag"),($A39="Sonntag"))</formula>
    </cfRule>
  </conditionalFormatting>
  <conditionalFormatting sqref="H39">
    <cfRule type="expression" dxfId="1448" priority="165" stopIfTrue="1">
      <formula>OR(($A39="Samstag"),($A39="Sonntag"))</formula>
    </cfRule>
  </conditionalFormatting>
  <conditionalFormatting sqref="H39">
    <cfRule type="expression" dxfId="1447" priority="163" stopIfTrue="1">
      <formula>OR(($A39="Samstag"),($A39="Sonntag"))</formula>
    </cfRule>
  </conditionalFormatting>
  <conditionalFormatting sqref="H46">
    <cfRule type="expression" dxfId="1446" priority="161" stopIfTrue="1">
      <formula>OR(($A46="Samstag"),($A46="Sonntag"))</formula>
    </cfRule>
  </conditionalFormatting>
  <conditionalFormatting sqref="H46">
    <cfRule type="expression" dxfId="1445" priority="160" stopIfTrue="1">
      <formula>OR(($A46="Samstag"),($A46="Sonntag"))</formula>
    </cfRule>
  </conditionalFormatting>
  <conditionalFormatting sqref="H22:H52">
    <cfRule type="expression" dxfId="1444" priority="157" stopIfTrue="1">
      <formula>OR(($A22="Samstag"),($A22="Sonntag"))</formula>
    </cfRule>
  </conditionalFormatting>
  <conditionalFormatting sqref="H22:H52">
    <cfRule type="expression" dxfId="1443" priority="156" stopIfTrue="1">
      <formula>OR(($A22="Samstag"),($A22="Sonntag"))</formula>
    </cfRule>
  </conditionalFormatting>
  <conditionalFormatting sqref="H31">
    <cfRule type="expression" dxfId="1442" priority="155" stopIfTrue="1">
      <formula>OR(($A31="Samstag"),($A31="Sonntag"))</formula>
    </cfRule>
  </conditionalFormatting>
  <conditionalFormatting sqref="H31">
    <cfRule type="expression" dxfId="1441" priority="154" stopIfTrue="1">
      <formula>OR(($A31="Samstag"),($A31="Sonntag"))</formula>
    </cfRule>
  </conditionalFormatting>
  <conditionalFormatting sqref="H38">
    <cfRule type="expression" dxfId="1440" priority="153" stopIfTrue="1">
      <formula>OR(($A38="Samstag"),($A38="Sonntag"))</formula>
    </cfRule>
  </conditionalFormatting>
  <conditionalFormatting sqref="H38">
    <cfRule type="expression" dxfId="1439" priority="152" stopIfTrue="1">
      <formula>OR(($A38="Samstag"),($A38="Sonntag"))</formula>
    </cfRule>
  </conditionalFormatting>
  <conditionalFormatting sqref="H45">
    <cfRule type="expression" dxfId="1438" priority="151" stopIfTrue="1">
      <formula>OR(($A45="Samstag"),($A45="Sonntag"))</formula>
    </cfRule>
  </conditionalFormatting>
  <conditionalFormatting sqref="H45">
    <cfRule type="expression" dxfId="1437" priority="150" stopIfTrue="1">
      <formula>OR(($A45="Samstag"),($A45="Sonntag"))</formula>
    </cfRule>
  </conditionalFormatting>
  <conditionalFormatting sqref="H40:H44">
    <cfRule type="expression" dxfId="1436" priority="143" stopIfTrue="1">
      <formula>OR(($A40="Samstag"),($A40="Sonntag"))</formula>
    </cfRule>
  </conditionalFormatting>
  <conditionalFormatting sqref="H40:H44">
    <cfRule type="expression" dxfId="1435" priority="142" stopIfTrue="1">
      <formula>OR(($A40="Samstag"),($A40="Sonntag"))</formula>
    </cfRule>
  </conditionalFormatting>
  <conditionalFormatting sqref="H23">
    <cfRule type="expression" dxfId="1434" priority="149" stopIfTrue="1">
      <formula>OR(($A23="Samstag"),($A23="Sonntag"))</formula>
    </cfRule>
  </conditionalFormatting>
  <conditionalFormatting sqref="H23">
    <cfRule type="expression" dxfId="1433" priority="148" stopIfTrue="1">
      <formula>OR(($A23="Samstag"),($A23="Sonntag"))</formula>
    </cfRule>
  </conditionalFormatting>
  <conditionalFormatting sqref="H26:H30">
    <cfRule type="expression" dxfId="1432" priority="147" stopIfTrue="1">
      <formula>OR(($A26="Samstag"),($A26="Sonntag"))</formula>
    </cfRule>
  </conditionalFormatting>
  <conditionalFormatting sqref="H26:H30">
    <cfRule type="expression" dxfId="1431" priority="146" stopIfTrue="1">
      <formula>OR(($A26="Samstag"),($A26="Sonntag"))</formula>
    </cfRule>
  </conditionalFormatting>
  <conditionalFormatting sqref="H33:H37">
    <cfRule type="expression" dxfId="1430" priority="145" stopIfTrue="1">
      <formula>OR(($A33="Samstag"),($A33="Sonntag"))</formula>
    </cfRule>
  </conditionalFormatting>
  <conditionalFormatting sqref="H33:H37">
    <cfRule type="expression" dxfId="1429" priority="144" stopIfTrue="1">
      <formula>OR(($A33="Samstag"),($A33="Sonntag"))</formula>
    </cfRule>
  </conditionalFormatting>
  <conditionalFormatting sqref="H47:H51">
    <cfRule type="expression" dxfId="1428" priority="141" stopIfTrue="1">
      <formula>OR(($A47="Samstag"),($A47="Sonntag"))</formula>
    </cfRule>
  </conditionalFormatting>
  <conditionalFormatting sqref="H47:H51">
    <cfRule type="expression" dxfId="1427" priority="140" stopIfTrue="1">
      <formula>OR(($A47="Samstag"),($A47="Sonntag"))</formula>
    </cfRule>
  </conditionalFormatting>
  <conditionalFormatting sqref="F23:H52">
    <cfRule type="expression" dxfId="1426" priority="139" stopIfTrue="1">
      <formula>OR(($A23="Samstag"),($A23="Sonntag"))</formula>
    </cfRule>
  </conditionalFormatting>
  <conditionalFormatting sqref="F23:H52">
    <cfRule type="expression" dxfId="1425" priority="138" stopIfTrue="1">
      <formula>OR(($A23="Samstag"),($A23="Sonntag"))</formula>
    </cfRule>
  </conditionalFormatting>
  <conditionalFormatting sqref="I22:I52">
    <cfRule type="expression" dxfId="1424" priority="123">
      <formula>(I22&gt;10)</formula>
    </cfRule>
    <cfRule type="expression" dxfId="1423" priority="134" stopIfTrue="1">
      <formula>OR(($A22="Samstag"),($A22="Sonntag"))</formula>
    </cfRule>
    <cfRule type="expression" dxfId="1422" priority="135" stopIfTrue="1">
      <formula>OR(($A22="Samstag"),($A22="Sonntag"))</formula>
    </cfRule>
    <cfRule type="expression" dxfId="1421" priority="137" stopIfTrue="1">
      <formula>OR(($A22="Samstag"),($A22="Sonntag"))</formula>
    </cfRule>
  </conditionalFormatting>
  <conditionalFormatting sqref="I22:I52">
    <cfRule type="expression" dxfId="1420" priority="136" stopIfTrue="1">
      <formula>OR(($A22="Samstag"),($A22="Sonntag"))</formula>
    </cfRule>
  </conditionalFormatting>
  <conditionalFormatting sqref="K56:P59">
    <cfRule type="expression" dxfId="1419" priority="133">
      <formula>OR(ISERROR($K$55),($K$55&gt;""))</formula>
    </cfRule>
  </conditionalFormatting>
  <conditionalFormatting sqref="L44:L52">
    <cfRule type="expression" dxfId="1418" priority="129" stopIfTrue="1">
      <formula>OR(($A44="Samstag"),($A44="Sonntag"))</formula>
    </cfRule>
  </conditionalFormatting>
  <conditionalFormatting sqref="L44:L52">
    <cfRule type="expression" dxfId="1417" priority="132" stopIfTrue="1">
      <formula>OR(($A44="Samstag"),($A44="Sonntag"))</formula>
    </cfRule>
  </conditionalFormatting>
  <conditionalFormatting sqref="L44:L52">
    <cfRule type="expression" dxfId="1416" priority="131" stopIfTrue="1">
      <formula>OR(($A44="Samstag"),($A44="Sonntag"))</formula>
    </cfRule>
  </conditionalFormatting>
  <conditionalFormatting sqref="L44:L52">
    <cfRule type="expression" dxfId="1415" priority="130" stopIfTrue="1">
      <formula>OR(($A44="Samstag"),($A44="Sonntag"))</formula>
    </cfRule>
  </conditionalFormatting>
  <conditionalFormatting sqref="L22">
    <cfRule type="expression" dxfId="1414" priority="128" stopIfTrue="1">
      <formula>OR(($A22="Samstag"),($A22="Sonntag"),($AA22=TRUE()))</formula>
    </cfRule>
  </conditionalFormatting>
  <conditionalFormatting sqref="L22">
    <cfRule type="expression" dxfId="1413" priority="127" stopIfTrue="1">
      <formula>OR(($A22="Samstag"),($A22="Sonntag"))</formula>
    </cfRule>
  </conditionalFormatting>
  <conditionalFormatting sqref="L40:L43">
    <cfRule type="expression" dxfId="1412" priority="126" stopIfTrue="1">
      <formula>OR(($A40="Samstag"),($A40="Sonntag"),($AA40=TRUE()))</formula>
    </cfRule>
  </conditionalFormatting>
  <conditionalFormatting sqref="L40:L43">
    <cfRule type="expression" dxfId="1411" priority="125" stopIfTrue="1">
      <formula>OR(($A40="Samstag"),($A40="Sonntag"))</formula>
    </cfRule>
  </conditionalFormatting>
  <conditionalFormatting sqref="G22:G52">
    <cfRule type="expression" dxfId="1410" priority="124">
      <formula>OR(AND(I22&gt;6,G22&lt;TIME(0,30,0)),AND(I22&gt;9,G22&lt;TIME(0,45,0)))</formula>
    </cfRule>
  </conditionalFormatting>
  <conditionalFormatting sqref="J22:K52">
    <cfRule type="expression" dxfId="1409" priority="122" stopIfTrue="1">
      <formula>OR(($A22="Samstag"),($A22="Sonntag"),($AA22=TRUE()))</formula>
    </cfRule>
  </conditionalFormatting>
  <conditionalFormatting sqref="J22:J52">
    <cfRule type="expression" dxfId="1408" priority="121" stopIfTrue="1">
      <formula>OR(($A22="Samstag"),($A22="Sonntag"))</formula>
    </cfRule>
  </conditionalFormatting>
  <conditionalFormatting sqref="J22:J52">
    <cfRule type="expression" dxfId="1407" priority="120" stopIfTrue="1">
      <formula>OR(($A22="Samstag"),($A22="Sonntag"))</formula>
    </cfRule>
  </conditionalFormatting>
  <conditionalFormatting sqref="K32">
    <cfRule type="expression" dxfId="1406" priority="119" stopIfTrue="1">
      <formula>OR(($A32="Samstag"),($A32="Sonntag"))</formula>
    </cfRule>
  </conditionalFormatting>
  <conditionalFormatting sqref="K32">
    <cfRule type="expression" dxfId="1405" priority="118" stopIfTrue="1">
      <formula>OR(($A32="Samstag"),($A32="Sonntag"))</formula>
    </cfRule>
  </conditionalFormatting>
  <conditionalFormatting sqref="K52">
    <cfRule type="expression" dxfId="1404" priority="107" stopIfTrue="1">
      <formula>OR(($A52="Samstag"),($A52="Sonntag"))</formula>
    </cfRule>
  </conditionalFormatting>
  <conditionalFormatting sqref="K52">
    <cfRule type="expression" dxfId="1403" priority="106" stopIfTrue="1">
      <formula>OR(($A52="Samstag"),($A52="Sonntag"))</formula>
    </cfRule>
  </conditionalFormatting>
  <conditionalFormatting sqref="K46">
    <cfRule type="expression" dxfId="1402" priority="110" stopIfTrue="1">
      <formula>OR(($A46="Samstag"),($A46="Sonntag"))</formula>
    </cfRule>
  </conditionalFormatting>
  <conditionalFormatting sqref="K32">
    <cfRule type="expression" dxfId="1401" priority="114" stopIfTrue="1">
      <formula>OR(($A32="Samstag"),($A32="Sonntag"))</formula>
    </cfRule>
  </conditionalFormatting>
  <conditionalFormatting sqref="K24:K25">
    <cfRule type="expression" dxfId="1400" priority="117" stopIfTrue="1">
      <formula>OR(($A24="Samstag"),($A24="Sonntag"))</formula>
    </cfRule>
  </conditionalFormatting>
  <conditionalFormatting sqref="K24">
    <cfRule type="expression" dxfId="1399" priority="116" stopIfTrue="1">
      <formula>OR(($A24="Samstag"),($A24="Sonntag"))</formula>
    </cfRule>
  </conditionalFormatting>
  <conditionalFormatting sqref="K25">
    <cfRule type="expression" dxfId="1398" priority="115" stopIfTrue="1">
      <formula>OR(($A25="Samstag"),($A25="Sonntag"))</formula>
    </cfRule>
  </conditionalFormatting>
  <conditionalFormatting sqref="K39">
    <cfRule type="expression" dxfId="1397" priority="112" stopIfTrue="1">
      <formula>OR(($A39="Samstag"),($A39="Sonntag"))</formula>
    </cfRule>
  </conditionalFormatting>
  <conditionalFormatting sqref="K39">
    <cfRule type="expression" dxfId="1396" priority="113" stopIfTrue="1">
      <formula>OR(($A39="Samstag"),($A39="Sonntag"))</formula>
    </cfRule>
  </conditionalFormatting>
  <conditionalFormatting sqref="K39">
    <cfRule type="expression" dxfId="1395" priority="111" stopIfTrue="1">
      <formula>OR(($A39="Samstag"),($A39="Sonntag"))</formula>
    </cfRule>
  </conditionalFormatting>
  <conditionalFormatting sqref="K46">
    <cfRule type="expression" dxfId="1394" priority="109" stopIfTrue="1">
      <formula>OR(($A46="Samstag"),($A46="Sonntag"))</formula>
    </cfRule>
  </conditionalFormatting>
  <conditionalFormatting sqref="K46">
    <cfRule type="expression" dxfId="1393" priority="108" stopIfTrue="1">
      <formula>OR(($A46="Samstag"),($A46="Sonntag"))</formula>
    </cfRule>
  </conditionalFormatting>
  <conditionalFormatting sqref="K22:K52">
    <cfRule type="expression" dxfId="1392" priority="105" stopIfTrue="1">
      <formula>OR(($A22="Samstag"),($A22="Sonntag"))</formula>
    </cfRule>
  </conditionalFormatting>
  <conditionalFormatting sqref="K22:K52">
    <cfRule type="expression" dxfId="1391" priority="104" stopIfTrue="1">
      <formula>OR(($A22="Samstag"),($A22="Sonntag"))</formula>
    </cfRule>
  </conditionalFormatting>
  <conditionalFormatting sqref="K31">
    <cfRule type="expression" dxfId="1390" priority="103" stopIfTrue="1">
      <formula>OR(($A31="Samstag"),($A31="Sonntag"))</formula>
    </cfRule>
  </conditionalFormatting>
  <conditionalFormatting sqref="K31">
    <cfRule type="expression" dxfId="1389" priority="102" stopIfTrue="1">
      <formula>OR(($A31="Samstag"),($A31="Sonntag"))</formula>
    </cfRule>
  </conditionalFormatting>
  <conditionalFormatting sqref="K38">
    <cfRule type="expression" dxfId="1388" priority="101" stopIfTrue="1">
      <formula>OR(($A38="Samstag"),($A38="Sonntag"))</formula>
    </cfRule>
  </conditionalFormatting>
  <conditionalFormatting sqref="K38">
    <cfRule type="expression" dxfId="1387" priority="100" stopIfTrue="1">
      <formula>OR(($A38="Samstag"),($A38="Sonntag"))</formula>
    </cfRule>
  </conditionalFormatting>
  <conditionalFormatting sqref="K45">
    <cfRule type="expression" dxfId="1386" priority="99" stopIfTrue="1">
      <formula>OR(($A45="Samstag"),($A45="Sonntag"))</formula>
    </cfRule>
  </conditionalFormatting>
  <conditionalFormatting sqref="K45">
    <cfRule type="expression" dxfId="1385" priority="98" stopIfTrue="1">
      <formula>OR(($A45="Samstag"),($A45="Sonntag"))</formula>
    </cfRule>
  </conditionalFormatting>
  <conditionalFormatting sqref="K40:K44">
    <cfRule type="expression" dxfId="1384" priority="91" stopIfTrue="1">
      <formula>OR(($A40="Samstag"),($A40="Sonntag"))</formula>
    </cfRule>
  </conditionalFormatting>
  <conditionalFormatting sqref="K40:K44">
    <cfRule type="expression" dxfId="1383" priority="90" stopIfTrue="1">
      <formula>OR(($A40="Samstag"),($A40="Sonntag"))</formula>
    </cfRule>
  </conditionalFormatting>
  <conditionalFormatting sqref="K23">
    <cfRule type="expression" dxfId="1382" priority="97" stopIfTrue="1">
      <formula>OR(($A23="Samstag"),($A23="Sonntag"))</formula>
    </cfRule>
  </conditionalFormatting>
  <conditionalFormatting sqref="K23">
    <cfRule type="expression" dxfId="1381" priority="96" stopIfTrue="1">
      <formula>OR(($A23="Samstag"),($A23="Sonntag"))</formula>
    </cfRule>
  </conditionalFormatting>
  <conditionalFormatting sqref="K26:K30">
    <cfRule type="expression" dxfId="1380" priority="95" stopIfTrue="1">
      <formula>OR(($A26="Samstag"),($A26="Sonntag"))</formula>
    </cfRule>
  </conditionalFormatting>
  <conditionalFormatting sqref="K26:K30">
    <cfRule type="expression" dxfId="1379" priority="94" stopIfTrue="1">
      <formula>OR(($A26="Samstag"),($A26="Sonntag"))</formula>
    </cfRule>
  </conditionalFormatting>
  <conditionalFormatting sqref="K33:K37">
    <cfRule type="expression" dxfId="1378" priority="93" stopIfTrue="1">
      <formula>OR(($A33="Samstag"),($A33="Sonntag"))</formula>
    </cfRule>
  </conditionalFormatting>
  <conditionalFormatting sqref="K33:K37">
    <cfRule type="expression" dxfId="1377" priority="92" stopIfTrue="1">
      <formula>OR(($A33="Samstag"),($A33="Sonntag"))</formula>
    </cfRule>
  </conditionalFormatting>
  <conditionalFormatting sqref="K47:K51">
    <cfRule type="expression" dxfId="1376" priority="89" stopIfTrue="1">
      <formula>OR(($A47="Samstag"),($A47="Sonntag"))</formula>
    </cfRule>
  </conditionalFormatting>
  <conditionalFormatting sqref="K47:K51">
    <cfRule type="expression" dxfId="1375" priority="88" stopIfTrue="1">
      <formula>OR(($A47="Samstag"),($A47="Sonntag"))</formula>
    </cfRule>
  </conditionalFormatting>
  <conditionalFormatting sqref="J22:J52">
    <cfRule type="expression" dxfId="1374" priority="87" stopIfTrue="1">
      <formula>OR(($A22="Samstag"),($A22="Sonntag"))</formula>
    </cfRule>
  </conditionalFormatting>
  <conditionalFormatting sqref="J22:J52">
    <cfRule type="expression" dxfId="1373" priority="86" stopIfTrue="1">
      <formula>OR(($A22="Samstag"),($A22="Sonntag"))</formula>
    </cfRule>
  </conditionalFormatting>
  <conditionalFormatting sqref="F31:H32">
    <cfRule type="expression" dxfId="1372" priority="85" stopIfTrue="1">
      <formula>OR(($A31="Samstag"),($A31="Sonntag"))</formula>
    </cfRule>
  </conditionalFormatting>
  <conditionalFormatting sqref="F31:H31">
    <cfRule type="expression" dxfId="1371" priority="84" stopIfTrue="1">
      <formula>OR(($A31="Samstag"),($A31="Sonntag"))</formula>
    </cfRule>
  </conditionalFormatting>
  <conditionalFormatting sqref="F32:H32">
    <cfRule type="expression" dxfId="1370" priority="83" stopIfTrue="1">
      <formula>OR(($A32="Samstag"),($A32="Sonntag"))</formula>
    </cfRule>
  </conditionalFormatting>
  <conditionalFormatting sqref="G33">
    <cfRule type="expression" dxfId="1369" priority="82" stopIfTrue="1">
      <formula>OR(($A33="Samstag"),($A33="Sonntag"))</formula>
    </cfRule>
  </conditionalFormatting>
  <conditionalFormatting sqref="G33">
    <cfRule type="expression" dxfId="1368" priority="81" stopIfTrue="1">
      <formula>OR(($A33="Samstag"),($A33="Sonntag"))</formula>
    </cfRule>
  </conditionalFormatting>
  <conditionalFormatting sqref="F33:H33">
    <cfRule type="expression" dxfId="1367" priority="80" stopIfTrue="1">
      <formula>OR(($A33="Samstag"),($A33="Sonntag"))</formula>
    </cfRule>
  </conditionalFormatting>
  <conditionalFormatting sqref="F33:H33">
    <cfRule type="expression" dxfId="1366" priority="79" stopIfTrue="1">
      <formula>OR(($A33="Samstag"),($A33="Sonntag"))</formula>
    </cfRule>
  </conditionalFormatting>
  <conditionalFormatting sqref="H33">
    <cfRule type="expression" dxfId="1365" priority="78" stopIfTrue="1">
      <formula>OR(($A33="Samstag"),($A33="Sonntag"))</formula>
    </cfRule>
  </conditionalFormatting>
  <conditionalFormatting sqref="H33">
    <cfRule type="expression" dxfId="1364" priority="77" stopIfTrue="1">
      <formula>OR(($A33="Samstag"),($A33="Sonntag"))</formula>
    </cfRule>
  </conditionalFormatting>
  <conditionalFormatting sqref="G31:G32">
    <cfRule type="expression" dxfId="1363" priority="76" stopIfTrue="1">
      <formula>OR(($A31="Samstag"),($A31="Sonntag"))</formula>
    </cfRule>
  </conditionalFormatting>
  <conditionalFormatting sqref="G31">
    <cfRule type="expression" dxfId="1362" priority="75" stopIfTrue="1">
      <formula>OR(($A31="Samstag"),($A31="Sonntag"))</formula>
    </cfRule>
  </conditionalFormatting>
  <conditionalFormatting sqref="G32">
    <cfRule type="expression" dxfId="1361" priority="74" stopIfTrue="1">
      <formula>OR(($A32="Samstag"),($A32="Sonntag"))</formula>
    </cfRule>
  </conditionalFormatting>
  <conditionalFormatting sqref="G33">
    <cfRule type="expression" dxfId="1360" priority="73" stopIfTrue="1">
      <formula>OR(($A33="Samstag"),($A33="Sonntag"))</formula>
    </cfRule>
  </conditionalFormatting>
  <conditionalFormatting sqref="G33">
    <cfRule type="expression" dxfId="1359" priority="72" stopIfTrue="1">
      <formula>OR(($A33="Samstag"),($A33="Sonntag"))</formula>
    </cfRule>
  </conditionalFormatting>
  <conditionalFormatting sqref="H31:H32">
    <cfRule type="expression" dxfId="1358" priority="71" stopIfTrue="1">
      <formula>OR(($A31="Samstag"),($A31="Sonntag"))</formula>
    </cfRule>
  </conditionalFormatting>
  <conditionalFormatting sqref="H31">
    <cfRule type="expression" dxfId="1357" priority="70" stopIfTrue="1">
      <formula>OR(($A31="Samstag"),($A31="Sonntag"))</formula>
    </cfRule>
  </conditionalFormatting>
  <conditionalFormatting sqref="H32">
    <cfRule type="expression" dxfId="1356" priority="69" stopIfTrue="1">
      <formula>OR(($A32="Samstag"),($A32="Sonntag"))</formula>
    </cfRule>
  </conditionalFormatting>
  <conditionalFormatting sqref="H33">
    <cfRule type="expression" dxfId="1355" priority="68" stopIfTrue="1">
      <formula>OR(($A33="Samstag"),($A33="Sonntag"))</formula>
    </cfRule>
  </conditionalFormatting>
  <conditionalFormatting sqref="H33">
    <cfRule type="expression" dxfId="1354" priority="67" stopIfTrue="1">
      <formula>OR(($A33="Samstag"),($A33="Sonntag"))</formula>
    </cfRule>
  </conditionalFormatting>
  <conditionalFormatting sqref="F38:H39">
    <cfRule type="expression" dxfId="1353" priority="66" stopIfTrue="1">
      <formula>OR(($A38="Samstag"),($A38="Sonntag"))</formula>
    </cfRule>
  </conditionalFormatting>
  <conditionalFormatting sqref="F38:H38">
    <cfRule type="expression" dxfId="1352" priority="65" stopIfTrue="1">
      <formula>OR(($A38="Samstag"),($A38="Sonntag"))</formula>
    </cfRule>
  </conditionalFormatting>
  <conditionalFormatting sqref="F39:H39">
    <cfRule type="expression" dxfId="1351" priority="64" stopIfTrue="1">
      <formula>OR(($A39="Samstag"),($A39="Sonntag"))</formula>
    </cfRule>
  </conditionalFormatting>
  <conditionalFormatting sqref="G40">
    <cfRule type="expression" dxfId="1350" priority="63" stopIfTrue="1">
      <formula>OR(($A40="Samstag"),($A40="Sonntag"))</formula>
    </cfRule>
  </conditionalFormatting>
  <conditionalFormatting sqref="G40">
    <cfRule type="expression" dxfId="1349" priority="62" stopIfTrue="1">
      <formula>OR(($A40="Samstag"),($A40="Sonntag"))</formula>
    </cfRule>
  </conditionalFormatting>
  <conditionalFormatting sqref="F40:H40">
    <cfRule type="expression" dxfId="1348" priority="61" stopIfTrue="1">
      <formula>OR(($A40="Samstag"),($A40="Sonntag"))</formula>
    </cfRule>
  </conditionalFormatting>
  <conditionalFormatting sqref="F40:H40">
    <cfRule type="expression" dxfId="1347" priority="60" stopIfTrue="1">
      <formula>OR(($A40="Samstag"),($A40="Sonntag"))</formula>
    </cfRule>
  </conditionalFormatting>
  <conditionalFormatting sqref="H40">
    <cfRule type="expression" dxfId="1346" priority="59" stopIfTrue="1">
      <formula>OR(($A40="Samstag"),($A40="Sonntag"))</formula>
    </cfRule>
  </conditionalFormatting>
  <conditionalFormatting sqref="H40">
    <cfRule type="expression" dxfId="1345" priority="58" stopIfTrue="1">
      <formula>OR(($A40="Samstag"),($A40="Sonntag"))</formula>
    </cfRule>
  </conditionalFormatting>
  <conditionalFormatting sqref="G38:G39">
    <cfRule type="expression" dxfId="1344" priority="57" stopIfTrue="1">
      <formula>OR(($A38="Samstag"),($A38="Sonntag"))</formula>
    </cfRule>
  </conditionalFormatting>
  <conditionalFormatting sqref="G38">
    <cfRule type="expression" dxfId="1343" priority="56" stopIfTrue="1">
      <formula>OR(($A38="Samstag"),($A38="Sonntag"))</formula>
    </cfRule>
  </conditionalFormatting>
  <conditionalFormatting sqref="G39">
    <cfRule type="expression" dxfId="1342" priority="55" stopIfTrue="1">
      <formula>OR(($A39="Samstag"),($A39="Sonntag"))</formula>
    </cfRule>
  </conditionalFormatting>
  <conditionalFormatting sqref="G40">
    <cfRule type="expression" dxfId="1341" priority="54" stopIfTrue="1">
      <formula>OR(($A40="Samstag"),($A40="Sonntag"))</formula>
    </cfRule>
  </conditionalFormatting>
  <conditionalFormatting sqref="G40">
    <cfRule type="expression" dxfId="1340" priority="53" stopIfTrue="1">
      <formula>OR(($A40="Samstag"),($A40="Sonntag"))</formula>
    </cfRule>
  </conditionalFormatting>
  <conditionalFormatting sqref="H38:H39">
    <cfRule type="expression" dxfId="1339" priority="52" stopIfTrue="1">
      <formula>OR(($A38="Samstag"),($A38="Sonntag"))</formula>
    </cfRule>
  </conditionalFormatting>
  <conditionalFormatting sqref="H38">
    <cfRule type="expression" dxfId="1338" priority="51" stopIfTrue="1">
      <formula>OR(($A38="Samstag"),($A38="Sonntag"))</formula>
    </cfRule>
  </conditionalFormatting>
  <conditionalFormatting sqref="H39">
    <cfRule type="expression" dxfId="1337" priority="50" stopIfTrue="1">
      <formula>OR(($A39="Samstag"),($A39="Sonntag"))</formula>
    </cfRule>
  </conditionalFormatting>
  <conditionalFormatting sqref="H40">
    <cfRule type="expression" dxfId="1336" priority="49" stopIfTrue="1">
      <formula>OR(($A40="Samstag"),($A40="Sonntag"))</formula>
    </cfRule>
  </conditionalFormatting>
  <conditionalFormatting sqref="H40">
    <cfRule type="expression" dxfId="1335" priority="48" stopIfTrue="1">
      <formula>OR(($A40="Samstag"),($A40="Sonntag"))</formula>
    </cfRule>
  </conditionalFormatting>
  <conditionalFormatting sqref="F45:H46">
    <cfRule type="expression" dxfId="1334" priority="47" stopIfTrue="1">
      <formula>OR(($A45="Samstag"),($A45="Sonntag"))</formula>
    </cfRule>
  </conditionalFormatting>
  <conditionalFormatting sqref="F45:H45">
    <cfRule type="expression" dxfId="1333" priority="46" stopIfTrue="1">
      <formula>OR(($A45="Samstag"),($A45="Sonntag"))</formula>
    </cfRule>
  </conditionalFormatting>
  <conditionalFormatting sqref="F46:H46">
    <cfRule type="expression" dxfId="1332" priority="45" stopIfTrue="1">
      <formula>OR(($A46="Samstag"),($A46="Sonntag"))</formula>
    </cfRule>
  </conditionalFormatting>
  <conditionalFormatting sqref="G47">
    <cfRule type="expression" dxfId="1331" priority="44" stopIfTrue="1">
      <formula>OR(($A47="Samstag"),($A47="Sonntag"))</formula>
    </cfRule>
  </conditionalFormatting>
  <conditionalFormatting sqref="G47">
    <cfRule type="expression" dxfId="1330" priority="43" stopIfTrue="1">
      <formula>OR(($A47="Samstag"),($A47="Sonntag"))</formula>
    </cfRule>
  </conditionalFormatting>
  <conditionalFormatting sqref="F47:H47">
    <cfRule type="expression" dxfId="1329" priority="42" stopIfTrue="1">
      <formula>OR(($A47="Samstag"),($A47="Sonntag"))</formula>
    </cfRule>
  </conditionalFormatting>
  <conditionalFormatting sqref="F47:H47">
    <cfRule type="expression" dxfId="1328" priority="41" stopIfTrue="1">
      <formula>OR(($A47="Samstag"),($A47="Sonntag"))</formula>
    </cfRule>
  </conditionalFormatting>
  <conditionalFormatting sqref="H47">
    <cfRule type="expression" dxfId="1327" priority="40" stopIfTrue="1">
      <formula>OR(($A47="Samstag"),($A47="Sonntag"))</formula>
    </cfRule>
  </conditionalFormatting>
  <conditionalFormatting sqref="H47">
    <cfRule type="expression" dxfId="1326" priority="39" stopIfTrue="1">
      <formula>OR(($A47="Samstag"),($A47="Sonntag"))</formula>
    </cfRule>
  </conditionalFormatting>
  <conditionalFormatting sqref="G45:G46">
    <cfRule type="expression" dxfId="1325" priority="38" stopIfTrue="1">
      <formula>OR(($A45="Samstag"),($A45="Sonntag"))</formula>
    </cfRule>
  </conditionalFormatting>
  <conditionalFormatting sqref="G45">
    <cfRule type="expression" dxfId="1324" priority="37" stopIfTrue="1">
      <formula>OR(($A45="Samstag"),($A45="Sonntag"))</formula>
    </cfRule>
  </conditionalFormatting>
  <conditionalFormatting sqref="G46">
    <cfRule type="expression" dxfId="1323" priority="36" stopIfTrue="1">
      <formula>OR(($A46="Samstag"),($A46="Sonntag"))</formula>
    </cfRule>
  </conditionalFormatting>
  <conditionalFormatting sqref="G47">
    <cfRule type="expression" dxfId="1322" priority="35" stopIfTrue="1">
      <formula>OR(($A47="Samstag"),($A47="Sonntag"))</formula>
    </cfRule>
  </conditionalFormatting>
  <conditionalFormatting sqref="G47">
    <cfRule type="expression" dxfId="1321" priority="34" stopIfTrue="1">
      <formula>OR(($A47="Samstag"),($A47="Sonntag"))</formula>
    </cfRule>
  </conditionalFormatting>
  <conditionalFormatting sqref="H45:H46">
    <cfRule type="expression" dxfId="1320" priority="33" stopIfTrue="1">
      <formula>OR(($A45="Samstag"),($A45="Sonntag"))</formula>
    </cfRule>
  </conditionalFormatting>
  <conditionalFormatting sqref="H45">
    <cfRule type="expression" dxfId="1319" priority="32" stopIfTrue="1">
      <formula>OR(($A45="Samstag"),($A45="Sonntag"))</formula>
    </cfRule>
  </conditionalFormatting>
  <conditionalFormatting sqref="H46">
    <cfRule type="expression" dxfId="1318" priority="31" stopIfTrue="1">
      <formula>OR(($A46="Samstag"),($A46="Sonntag"))</formula>
    </cfRule>
  </conditionalFormatting>
  <conditionalFormatting sqref="H47">
    <cfRule type="expression" dxfId="1317" priority="30" stopIfTrue="1">
      <formula>OR(($A47="Samstag"),($A47="Sonntag"))</formula>
    </cfRule>
  </conditionalFormatting>
  <conditionalFormatting sqref="H47">
    <cfRule type="expression" dxfId="1316" priority="29" stopIfTrue="1">
      <formula>OR(($A47="Samstag"),($A47="Sonntag"))</formula>
    </cfRule>
  </conditionalFormatting>
  <conditionalFormatting sqref="F52:H52">
    <cfRule type="expression" dxfId="1315" priority="28" stopIfTrue="1">
      <formula>OR(($A52="Samstag"),($A52="Sonntag"))</formula>
    </cfRule>
  </conditionalFormatting>
  <conditionalFormatting sqref="F52:H52">
    <cfRule type="expression" dxfId="1314" priority="27" stopIfTrue="1">
      <formula>OR(($A52="Samstag"),($A52="Sonntag"))</formula>
    </cfRule>
  </conditionalFormatting>
  <conditionalFormatting sqref="G52">
    <cfRule type="expression" dxfId="1313" priority="26" stopIfTrue="1">
      <formula>OR(($A52="Samstag"),($A52="Sonntag"))</formula>
    </cfRule>
  </conditionalFormatting>
  <conditionalFormatting sqref="G52">
    <cfRule type="expression" dxfId="1312" priority="25" stopIfTrue="1">
      <formula>OR(($A52="Samstag"),($A52="Sonntag"))</formula>
    </cfRule>
  </conditionalFormatting>
  <conditionalFormatting sqref="H52">
    <cfRule type="expression" dxfId="1311" priority="24" stopIfTrue="1">
      <formula>OR(($A52="Samstag"),($A52="Sonntag"))</formula>
    </cfRule>
  </conditionalFormatting>
  <conditionalFormatting sqref="H52">
    <cfRule type="expression" dxfId="1310" priority="23" stopIfTrue="1">
      <formula>OR(($A52="Samstag"),($A52="Sonntag"))</formula>
    </cfRule>
  </conditionalFormatting>
  <conditionalFormatting sqref="F52:H52">
    <cfRule type="expression" dxfId="1309" priority="22" stopIfTrue="1">
      <formula>OR(($A52="Samstag"),($A52="Sonntag"))</formula>
    </cfRule>
  </conditionalFormatting>
  <conditionalFormatting sqref="F52:H52">
    <cfRule type="expression" dxfId="1308" priority="21" stopIfTrue="1">
      <formula>OR(($A52="Samstag"),($A52="Sonntag"))</formula>
    </cfRule>
  </conditionalFormatting>
  <conditionalFormatting sqref="G52">
    <cfRule type="expression" dxfId="1307" priority="20" stopIfTrue="1">
      <formula>OR(($A52="Samstag"),($A52="Sonntag"))</formula>
    </cfRule>
  </conditionalFormatting>
  <conditionalFormatting sqref="G52">
    <cfRule type="expression" dxfId="1306" priority="19" stopIfTrue="1">
      <formula>OR(($A52="Samstag"),($A52="Sonntag"))</formula>
    </cfRule>
  </conditionalFormatting>
  <conditionalFormatting sqref="H52">
    <cfRule type="expression" dxfId="1305" priority="18" stopIfTrue="1">
      <formula>OR(($A52="Samstag"),($A52="Sonntag"))</formula>
    </cfRule>
  </conditionalFormatting>
  <conditionalFormatting sqref="H52">
    <cfRule type="expression" dxfId="1304" priority="17" stopIfTrue="1">
      <formula>OR(($A52="Samstag"),($A52="Sonntag"))</formula>
    </cfRule>
  </conditionalFormatting>
  <conditionalFormatting sqref="G39">
    <cfRule type="expression" dxfId="1303" priority="16" stopIfTrue="1">
      <formula>OR(($A39="Samstag"),($A39="Sonntag"))</formula>
    </cfRule>
  </conditionalFormatting>
  <conditionalFormatting sqref="G39">
    <cfRule type="expression" dxfId="1302" priority="15" stopIfTrue="1">
      <formula>OR(($A39="Samstag"),($A39="Sonntag"))</formula>
    </cfRule>
  </conditionalFormatting>
  <conditionalFormatting sqref="G39">
    <cfRule type="expression" dxfId="1301" priority="14" stopIfTrue="1">
      <formula>OR(($A39="Samstag"),($A39="Sonntag"))</formula>
    </cfRule>
  </conditionalFormatting>
  <conditionalFormatting sqref="G39">
    <cfRule type="expression" dxfId="1300" priority="13" stopIfTrue="1">
      <formula>OR(($A39="Samstag"),($A39="Sonntag"))</formula>
    </cfRule>
  </conditionalFormatting>
  <conditionalFormatting sqref="G39">
    <cfRule type="expression" dxfId="1299" priority="12" stopIfTrue="1">
      <formula>OR(($A39="Samstag"),($A39="Sonntag"))</formula>
    </cfRule>
  </conditionalFormatting>
  <conditionalFormatting sqref="G39">
    <cfRule type="expression" dxfId="1298" priority="11" stopIfTrue="1">
      <formula>OR(($A39="Samstag"),($A39="Sonntag"))</formula>
    </cfRule>
  </conditionalFormatting>
  <conditionalFormatting sqref="G39">
    <cfRule type="expression" dxfId="1297" priority="10" stopIfTrue="1">
      <formula>OR(($A39="Samstag"),($A39="Sonntag"))</formula>
    </cfRule>
  </conditionalFormatting>
  <conditionalFormatting sqref="G39">
    <cfRule type="expression" dxfId="1296" priority="9" stopIfTrue="1">
      <formula>OR(($A39="Samstag"),($A39="Sonntag"))</formula>
    </cfRule>
  </conditionalFormatting>
  <conditionalFormatting sqref="G40">
    <cfRule type="expression" dxfId="1295" priority="8" stopIfTrue="1">
      <formula>OR(($A40="Samstag"),($A40="Sonntag"))</formula>
    </cfRule>
  </conditionalFormatting>
  <conditionalFormatting sqref="G40">
    <cfRule type="expression" dxfId="1294" priority="7" stopIfTrue="1">
      <formula>OR(($A40="Samstag"),($A40="Sonntag"))</formula>
    </cfRule>
  </conditionalFormatting>
  <conditionalFormatting sqref="G40">
    <cfRule type="expression" dxfId="1293" priority="6" stopIfTrue="1">
      <formula>OR(($A40="Samstag"),($A40="Sonntag"))</formula>
    </cfRule>
  </conditionalFormatting>
  <conditionalFormatting sqref="G40">
    <cfRule type="expression" dxfId="1292" priority="5" stopIfTrue="1">
      <formula>OR(($A40="Samstag"),($A40="Sonntag"))</formula>
    </cfRule>
  </conditionalFormatting>
  <conditionalFormatting sqref="G40">
    <cfRule type="expression" dxfId="1291" priority="4" stopIfTrue="1">
      <formula>OR(($A40="Samstag"),($A40="Sonntag"))</formula>
    </cfRule>
  </conditionalFormatting>
  <conditionalFormatting sqref="G40">
    <cfRule type="expression" dxfId="1290" priority="3" stopIfTrue="1">
      <formula>OR(($A40="Samstag"),($A40="Sonntag"))</formula>
    </cfRule>
  </conditionalFormatting>
  <conditionalFormatting sqref="G40">
    <cfRule type="expression" dxfId="1289" priority="2" stopIfTrue="1">
      <formula>OR(($A40="Samstag"),($A40="Sonntag"))</formula>
    </cfRule>
  </conditionalFormatting>
  <conditionalFormatting sqref="G40">
    <cfRule type="expression" dxfId="1288" priority="1" stopIfTrue="1">
      <formula>OR(($A40="Samstag"),($A40="Sonntag"))</formula>
    </cfRule>
  </conditionalFormatting>
  <dataValidations count="8">
    <dataValidation type="decimal" allowBlank="1" showInputMessage="1" showErrorMessage="1" errorTitle="Eingabefehler" error="Bitte geben Sie eine positive Dezimalzahl ein." sqref="D22:D52">
      <formula1>0</formula1>
      <formula2>20</formula2>
    </dataValidation>
    <dataValidation type="decimal" allowBlank="1" showInputMessage="1" showErrorMessage="1" sqref="I16:M16 I12:M12">
      <formula1>$AA$35</formula1>
      <formula2>$AA$36</formula2>
    </dataValidation>
    <dataValidation showInputMessage="1" showErrorMessage="1" sqref="G10:I10"/>
    <dataValidation type="list" allowBlank="1" showInputMessage="1" showErrorMessage="1" sqref="E17:F17">
      <formula1>$B$22:$B$52</formula1>
    </dataValidation>
    <dataValidation type="list" showInputMessage="1" showErrorMessage="1" sqref="C22:C52">
      <formula1>Auswahlart</formula1>
    </dataValidation>
    <dataValidation type="custom" allowBlank="1" showInputMessage="1" showErrorMessage="1" errorTitle="Eingabefehler" error="Bitte geben Sie eine Uhrzeit ( hh:mm ) zwischen 0:00 und 23:59 ein. Bitte beachten Sie, dass eine Eingabe an Wochenenden sowie an Tagen mit dem Status &quot;bezahlt abwesend&quot; nicht möglich ist." sqref="F22:H52">
      <formula1>AND(ISNUMBER(F22),DAY($B22)&gt;0,NOT(AND($C22="BA",NOT($S$8))),NOT(AND(OR($A22="Sonntag",$A22="Samstag"),NOT($S$7))),F22&gt;=TIME(0,0,0),F22&lt;=TIME(23,59,59))</formula1>
    </dataValidation>
    <dataValidation type="decimal" allowBlank="1" showInputMessage="1" showErrorMessage="1" sqref="M7:O7">
      <formula1>-9999999</formula1>
      <formula2>9999999</formula2>
    </dataValidation>
    <dataValidation type="decimal" allowBlank="1" showInputMessage="1" showErrorMessage="1" sqref="F12 F16 I13:M13 I17:M17">
      <formula1>0</formula1>
      <formula2>45</formula2>
    </dataValidation>
  </dataValidations>
  <pageMargins left="0.43307086614173229" right="0.23622047244094491" top="0.89" bottom="0.54" header="0.4" footer="0.31496062992125984"/>
  <pageSetup paperSize="9" scale="65" orientation="portrait" r:id="rId1"/>
  <headerFooter differentFirst="1" alignWithMargins="0">
    <firstHeader>&amp;L&amp;G</firstHeader>
  </headerFooter>
  <drawing r:id="rId2"/>
  <legacyDrawing r:id="rId3"/>
  <legacyDrawingHF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pageSetUpPr fitToPage="1"/>
  </sheetPr>
  <dimension ref="A1:IR80"/>
  <sheetViews>
    <sheetView showGridLines="0" showRowColHeaders="0" tabSelected="1" topLeftCell="A31" zoomScaleNormal="100" zoomScaleSheetLayoutView="55" workbookViewId="0">
      <selection activeCell="H42" sqref="H42"/>
    </sheetView>
  </sheetViews>
  <sheetFormatPr baseColWidth="10" defaultColWidth="6.25" defaultRowHeight="0" customHeight="1" zeroHeight="1"/>
  <cols>
    <col min="1" max="1" width="5" style="6" customWidth="1"/>
    <col min="2" max="2" width="11.25" style="57" customWidth="1"/>
    <col min="3" max="3" width="7.5" style="57" customWidth="1"/>
    <col min="4" max="8" width="7.75" style="57" customWidth="1"/>
    <col min="9" max="13" width="8.125" style="57" customWidth="1"/>
    <col min="14" max="14" width="7.5" style="57" customWidth="1"/>
    <col min="15" max="15" width="10" style="57" customWidth="1"/>
    <col min="16" max="16" width="7.5" style="24" customWidth="1"/>
    <col min="17" max="17" width="5" style="24" customWidth="1"/>
    <col min="18" max="18" width="10.125" style="6" customWidth="1"/>
    <col min="19" max="19" width="7.5" style="6" bestFit="1" customWidth="1"/>
    <col min="20" max="20" width="8.5" style="6" bestFit="1" customWidth="1"/>
    <col min="21" max="21" width="7.25" style="6" bestFit="1" customWidth="1"/>
    <col min="22" max="22" width="7.75" style="6" bestFit="1" customWidth="1"/>
    <col min="23" max="23" width="7.5" style="6" bestFit="1" customWidth="1"/>
    <col min="24" max="24" width="8.125" style="6" bestFit="1" customWidth="1"/>
    <col min="25" max="25" width="7.25" style="6" bestFit="1" customWidth="1"/>
    <col min="26" max="26" width="7.25" style="6" customWidth="1"/>
    <col min="27" max="27" width="10.5" style="68" customWidth="1"/>
    <col min="28" max="28" width="9.875" style="68" customWidth="1"/>
    <col min="29" max="29" width="11.125" style="6" customWidth="1"/>
    <col min="30" max="31" width="11.125" style="95" customWidth="1"/>
    <col min="32" max="34" width="6.25" style="96" customWidth="1"/>
    <col min="35" max="252" width="6.25" style="3" customWidth="1"/>
    <col min="253" max="16384" width="6.25" style="3"/>
  </cols>
  <sheetData>
    <row r="1" spans="1:34" ht="11.25" customHeight="1">
      <c r="A1" s="3"/>
      <c r="B1" s="92"/>
      <c r="C1" s="92"/>
      <c r="D1" s="92"/>
      <c r="E1" s="92"/>
      <c r="F1" s="92"/>
      <c r="G1" s="92"/>
      <c r="H1" s="92"/>
      <c r="I1" s="92"/>
      <c r="J1" s="92"/>
      <c r="K1" s="92"/>
      <c r="L1" s="92"/>
      <c r="M1" s="92"/>
      <c r="N1" s="92"/>
      <c r="O1" s="92"/>
      <c r="P1" s="8"/>
      <c r="Q1" s="154"/>
      <c r="R1" s="154"/>
      <c r="S1" s="69"/>
      <c r="T1" s="69"/>
      <c r="U1" s="69"/>
      <c r="V1" s="3"/>
      <c r="W1" s="3"/>
      <c r="X1" s="3"/>
      <c r="Y1" s="3"/>
      <c r="Z1" s="3"/>
      <c r="AA1" s="3"/>
      <c r="AB1" s="3"/>
      <c r="AC1" s="3"/>
      <c r="AD1" s="3"/>
      <c r="AE1" s="3"/>
      <c r="AF1" s="3"/>
      <c r="AG1" s="3"/>
      <c r="AH1" s="3"/>
    </row>
    <row r="2" spans="1:34" ht="18.75" customHeight="1">
      <c r="A2" s="3"/>
      <c r="B2" s="221" t="s">
        <v>9</v>
      </c>
      <c r="C2" s="221"/>
      <c r="D2" s="221"/>
      <c r="E2" s="221"/>
      <c r="F2" s="221"/>
      <c r="G2" s="221"/>
      <c r="H2" s="221"/>
      <c r="I2" s="221" t="s">
        <v>35</v>
      </c>
      <c r="J2" s="221"/>
      <c r="K2" s="278">
        <f>Übersicht!K2</f>
        <v>2017</v>
      </c>
      <c r="L2" s="278"/>
      <c r="M2" s="93"/>
      <c r="N2" s="93"/>
      <c r="O2" s="93"/>
      <c r="P2" s="94"/>
      <c r="Q2" s="154"/>
      <c r="R2" s="154"/>
      <c r="S2" s="69"/>
      <c r="T2" s="69"/>
      <c r="U2" s="69"/>
      <c r="V2" s="3"/>
      <c r="W2" s="3"/>
      <c r="X2" s="3"/>
      <c r="Y2" s="3"/>
      <c r="Z2" s="3"/>
      <c r="AA2" s="3"/>
      <c r="AB2" s="3"/>
      <c r="AC2" s="3"/>
      <c r="AD2" s="3"/>
      <c r="AE2" s="3"/>
      <c r="AF2" s="3"/>
      <c r="AG2" s="3"/>
      <c r="AH2" s="3"/>
    </row>
    <row r="3" spans="1:34" ht="11.25" customHeight="1">
      <c r="A3" s="3"/>
      <c r="B3" s="10"/>
      <c r="C3" s="10"/>
      <c r="D3" s="10"/>
      <c r="E3" s="10"/>
      <c r="F3" s="10"/>
      <c r="G3" s="10"/>
      <c r="H3" s="10"/>
      <c r="I3" s="10"/>
      <c r="J3" s="10"/>
      <c r="K3" s="10"/>
      <c r="L3" s="10"/>
      <c r="M3" s="10"/>
      <c r="N3" s="10"/>
      <c r="O3" s="10"/>
      <c r="P3" s="8"/>
      <c r="Q3" s="154"/>
      <c r="R3" s="154"/>
      <c r="S3" s="69"/>
      <c r="T3" s="69"/>
      <c r="U3" s="69"/>
      <c r="V3" s="3"/>
      <c r="W3" s="3"/>
      <c r="X3" s="3"/>
      <c r="Y3" s="3"/>
      <c r="Z3" s="3"/>
      <c r="AA3" s="3"/>
      <c r="AB3" s="3"/>
      <c r="AC3" s="3"/>
      <c r="AD3" s="3"/>
      <c r="AE3" s="3"/>
      <c r="AF3" s="3"/>
      <c r="AG3" s="3"/>
      <c r="AH3" s="3"/>
    </row>
    <row r="4" spans="1:34" ht="15" customHeight="1">
      <c r="A4" s="3"/>
      <c r="B4" s="11"/>
      <c r="C4" s="12"/>
      <c r="D4" s="12"/>
      <c r="E4" s="12"/>
      <c r="F4" s="12"/>
      <c r="G4" s="12"/>
      <c r="H4" s="12"/>
      <c r="I4" s="12"/>
      <c r="J4" s="12"/>
      <c r="K4" s="12"/>
      <c r="L4" s="12"/>
      <c r="M4" s="12"/>
      <c r="N4" s="12"/>
      <c r="O4" s="12"/>
      <c r="P4" s="13"/>
      <c r="Q4" s="154"/>
      <c r="R4" s="154"/>
      <c r="S4" s="69"/>
      <c r="T4" s="69"/>
      <c r="U4" s="69"/>
      <c r="V4" s="3"/>
      <c r="W4" s="3"/>
      <c r="X4" s="3"/>
      <c r="Y4" s="3"/>
      <c r="Z4" s="3"/>
      <c r="AA4" s="3"/>
      <c r="AB4" s="3"/>
      <c r="AC4" s="3"/>
      <c r="AD4" s="3"/>
      <c r="AE4" s="3"/>
      <c r="AF4" s="3"/>
      <c r="AG4" s="3"/>
      <c r="AH4" s="3"/>
    </row>
    <row r="5" spans="1:34" ht="22.5" customHeight="1">
      <c r="A5" s="3"/>
      <c r="B5" s="107"/>
      <c r="C5" s="25" t="s">
        <v>3</v>
      </c>
      <c r="D5" s="15"/>
      <c r="E5" s="258" t="str">
        <f>IF(Übersicht!E5&lt;&gt;"",Übersicht!E5,"")</f>
        <v>Jansen, David</v>
      </c>
      <c r="F5" s="259"/>
      <c r="G5" s="259"/>
      <c r="H5" s="260"/>
      <c r="I5" s="16"/>
      <c r="J5" s="25" t="s">
        <v>65</v>
      </c>
      <c r="K5" s="16"/>
      <c r="M5" s="261">
        <f>IF(Übersicht!M5&lt;&gt;"",Übersicht!M5,"")</f>
        <v>419510</v>
      </c>
      <c r="N5" s="262"/>
      <c r="O5" s="263"/>
      <c r="P5" s="17"/>
      <c r="Q5" s="155"/>
      <c r="R5" s="155"/>
      <c r="S5" s="68"/>
      <c r="T5" s="68"/>
      <c r="V5" s="3"/>
      <c r="W5" s="3"/>
      <c r="X5" s="3"/>
      <c r="Y5" s="3"/>
      <c r="Z5" s="3"/>
      <c r="AA5" s="3"/>
      <c r="AB5" s="3"/>
      <c r="AC5" s="3"/>
      <c r="AD5" s="3"/>
      <c r="AE5" s="3"/>
      <c r="AF5" s="3"/>
      <c r="AG5" s="3"/>
      <c r="AH5" s="3"/>
    </row>
    <row r="6" spans="1:34" ht="15">
      <c r="A6" s="3"/>
      <c r="B6" s="18"/>
      <c r="C6" s="19"/>
      <c r="D6" s="19"/>
      <c r="E6" s="19"/>
      <c r="F6" s="19"/>
      <c r="G6" s="20"/>
      <c r="H6" s="20"/>
      <c r="I6" s="16"/>
      <c r="J6" s="16"/>
      <c r="P6" s="23"/>
      <c r="Q6" s="156"/>
      <c r="R6" s="156"/>
      <c r="V6" s="3"/>
      <c r="W6" s="3"/>
      <c r="X6" s="3"/>
      <c r="Y6" s="3"/>
      <c r="Z6" s="3"/>
      <c r="AA6" s="3"/>
      <c r="AB6" s="3"/>
      <c r="AC6" s="3"/>
      <c r="AD6" s="3"/>
      <c r="AE6" s="3"/>
      <c r="AF6" s="3"/>
      <c r="AG6" s="3"/>
      <c r="AH6" s="3"/>
    </row>
    <row r="7" spans="1:34" ht="22.5" customHeight="1">
      <c r="A7" s="3"/>
      <c r="B7" s="107"/>
      <c r="C7" s="25" t="s">
        <v>7</v>
      </c>
      <c r="D7" s="16"/>
      <c r="E7" s="258" t="str">
        <f>IF(Übersicht!E7&lt;&gt;"",Übersicht!E7,"")</f>
        <v>Hiwi</v>
      </c>
      <c r="F7" s="259"/>
      <c r="G7" s="259"/>
      <c r="H7" s="260"/>
      <c r="I7" s="16"/>
      <c r="J7" s="25" t="s">
        <v>74</v>
      </c>
      <c r="K7" s="16"/>
      <c r="M7" s="272">
        <f>Mai!K54</f>
        <v>15.75</v>
      </c>
      <c r="N7" s="285"/>
      <c r="O7" s="286"/>
      <c r="P7" s="23"/>
      <c r="Q7" s="156"/>
      <c r="R7" s="6" t="s">
        <v>81</v>
      </c>
      <c r="S7" s="211" t="b">
        <f>OR(IF(E7&gt;"",IF(MID(E7,LEN(E7)-1,2)="WE","WAHR",FALSE),FALSE),IF(E7&gt;"",IF(MID(E7,LEN(E7)-2,3)="WEF","WAHR",FALSE),FALSE))</f>
        <v>0</v>
      </c>
      <c r="V7" s="3"/>
      <c r="W7" s="3"/>
      <c r="X7" s="3"/>
      <c r="Y7" s="3"/>
      <c r="Z7" s="3"/>
      <c r="AA7" s="3"/>
      <c r="AB7" s="3"/>
      <c r="AC7" s="3"/>
      <c r="AD7" s="3"/>
      <c r="AE7" s="3"/>
      <c r="AF7" s="3"/>
      <c r="AG7" s="3"/>
      <c r="AH7" s="3"/>
    </row>
    <row r="8" spans="1:34" ht="22.5" customHeight="1">
      <c r="A8" s="3"/>
      <c r="B8" s="186"/>
      <c r="C8" s="187"/>
      <c r="D8" s="187"/>
      <c r="E8" s="187"/>
      <c r="F8" s="188"/>
      <c r="G8" s="189"/>
      <c r="H8" s="189"/>
      <c r="I8" s="189"/>
      <c r="J8" s="61"/>
      <c r="K8" s="61"/>
      <c r="L8" s="61"/>
      <c r="M8" s="61"/>
      <c r="N8" s="61"/>
      <c r="O8" s="61"/>
      <c r="P8" s="190"/>
      <c r="Q8" s="156"/>
      <c r="R8" s="6" t="s">
        <v>82</v>
      </c>
      <c r="S8" s="211" t="b">
        <f>IF(E7&gt;"",IF(MID(E7,LEN(E7)-2,3)="WEF","WAHR",FALSE),FALSE)</f>
        <v>0</v>
      </c>
      <c r="V8" s="3"/>
      <c r="W8" s="3"/>
      <c r="X8" s="3"/>
      <c r="Y8" s="3"/>
      <c r="Z8" s="3"/>
      <c r="AA8" s="3"/>
      <c r="AB8" s="3"/>
      <c r="AC8" s="3"/>
      <c r="AD8" s="3"/>
      <c r="AE8" s="3"/>
      <c r="AF8" s="3"/>
      <c r="AG8" s="3"/>
      <c r="AH8" s="3"/>
    </row>
    <row r="9" spans="1:34" ht="22.5" customHeight="1">
      <c r="A9" s="3"/>
      <c r="B9" s="107"/>
      <c r="C9" s="25" t="s">
        <v>73</v>
      </c>
      <c r="D9" s="16"/>
      <c r="E9" s="191" t="str">
        <f>IF(Übersicht!E11&lt;&gt;"",Übersicht!E11,"")</f>
        <v>Innogy Abwasser</v>
      </c>
      <c r="F9" s="192"/>
      <c r="G9" s="192"/>
      <c r="H9" s="192"/>
      <c r="I9" s="192"/>
      <c r="J9" s="192"/>
      <c r="K9" s="192"/>
      <c r="L9" s="192"/>
      <c r="M9" s="192"/>
      <c r="N9" s="192"/>
      <c r="O9" s="193"/>
      <c r="P9" s="23"/>
      <c r="Q9" s="156"/>
      <c r="R9" s="156"/>
      <c r="V9" s="3"/>
      <c r="W9" s="3"/>
      <c r="X9" s="3"/>
      <c r="Y9" s="3"/>
      <c r="Z9" s="3"/>
      <c r="AA9" s="3"/>
      <c r="AB9" s="3"/>
      <c r="AC9" s="3"/>
      <c r="AD9" s="3"/>
      <c r="AE9" s="3"/>
      <c r="AF9" s="3"/>
      <c r="AG9" s="3"/>
      <c r="AH9" s="3"/>
    </row>
    <row r="10" spans="1:34" ht="15">
      <c r="A10" s="3"/>
      <c r="B10" s="14"/>
      <c r="C10" s="25"/>
      <c r="D10" s="25"/>
      <c r="E10" s="25"/>
      <c r="F10" s="19"/>
      <c r="G10" s="26"/>
      <c r="H10" s="26"/>
      <c r="I10" s="26"/>
      <c r="P10" s="23"/>
      <c r="Q10" s="157"/>
      <c r="R10" s="157"/>
      <c r="S10" s="68"/>
      <c r="T10" s="68"/>
      <c r="U10" s="68"/>
      <c r="V10" s="3"/>
      <c r="W10" s="3"/>
      <c r="X10" s="3"/>
      <c r="Y10" s="3"/>
      <c r="Z10" s="3"/>
      <c r="AA10" s="3"/>
      <c r="AB10" s="3"/>
      <c r="AC10" s="3"/>
      <c r="AD10" s="3"/>
      <c r="AE10" s="3"/>
      <c r="AF10" s="3"/>
      <c r="AG10" s="3"/>
      <c r="AH10" s="3"/>
    </row>
    <row r="11" spans="1:34" ht="15" customHeight="1">
      <c r="A11" s="3"/>
      <c r="B11" s="112"/>
      <c r="C11" s="113"/>
      <c r="D11" s="114"/>
      <c r="E11" s="114"/>
      <c r="F11" s="115"/>
      <c r="G11" s="115"/>
      <c r="H11" s="116" t="s">
        <v>42</v>
      </c>
      <c r="I11" s="117" t="s">
        <v>12</v>
      </c>
      <c r="J11" s="118" t="s">
        <v>13</v>
      </c>
      <c r="K11" s="119" t="s">
        <v>14</v>
      </c>
      <c r="L11" s="117" t="s">
        <v>15</v>
      </c>
      <c r="M11" s="117" t="s">
        <v>16</v>
      </c>
      <c r="N11" s="120"/>
      <c r="O11" s="150"/>
      <c r="P11" s="23"/>
      <c r="Q11" s="156"/>
      <c r="R11" s="156"/>
      <c r="V11" s="3"/>
      <c r="W11" s="3"/>
      <c r="X11" s="3"/>
      <c r="Y11" s="3"/>
      <c r="Z11" s="3"/>
      <c r="AA11" s="3"/>
      <c r="AB11" s="3"/>
      <c r="AC11" s="3"/>
      <c r="AD11" s="3"/>
      <c r="AE11" s="3"/>
      <c r="AF11" s="3"/>
      <c r="AG11" s="3"/>
      <c r="AH11" s="3"/>
    </row>
    <row r="12" spans="1:34" ht="22.5" customHeight="1">
      <c r="A12" s="3"/>
      <c r="B12" s="112"/>
      <c r="C12" s="14" t="s">
        <v>30</v>
      </c>
      <c r="D12" s="21"/>
      <c r="E12" s="22"/>
      <c r="F12" s="152">
        <f>IF(Mai!F16&gt;0,Mai!F16,Mai!F12)</f>
        <v>10</v>
      </c>
      <c r="G12" s="92"/>
      <c r="H12" s="121" t="s">
        <v>43</v>
      </c>
      <c r="I12" s="122">
        <f>$F$12/5</f>
        <v>2</v>
      </c>
      <c r="J12" s="123">
        <f>$F$12/5</f>
        <v>2</v>
      </c>
      <c r="K12" s="123">
        <f>$F$12/5</f>
        <v>2</v>
      </c>
      <c r="L12" s="123">
        <f>$F$12/5</f>
        <v>2</v>
      </c>
      <c r="M12" s="124">
        <f>$F$12/5</f>
        <v>2</v>
      </c>
      <c r="N12" s="125" t="s">
        <v>45</v>
      </c>
      <c r="O12" s="150"/>
      <c r="P12" s="23"/>
      <c r="Q12" s="156"/>
      <c r="R12" s="156"/>
      <c r="V12" s="3"/>
      <c r="W12" s="3"/>
      <c r="X12" s="3"/>
      <c r="Y12" s="3"/>
      <c r="Z12" s="3"/>
      <c r="AA12" s="3"/>
      <c r="AB12" s="3"/>
      <c r="AC12" s="3"/>
      <c r="AD12" s="3"/>
      <c r="AE12" s="3"/>
      <c r="AF12" s="3"/>
      <c r="AG12" s="3"/>
      <c r="AH12" s="3"/>
    </row>
    <row r="13" spans="1:34" ht="22.5" customHeight="1">
      <c r="A13" s="3"/>
      <c r="B13" s="112"/>
      <c r="C13" s="126"/>
      <c r="D13" s="151"/>
      <c r="E13" s="151"/>
      <c r="F13" s="127"/>
      <c r="G13" s="127"/>
      <c r="H13" s="128" t="s">
        <v>44</v>
      </c>
      <c r="I13" s="108"/>
      <c r="J13" s="109"/>
      <c r="K13" s="109"/>
      <c r="L13" s="109"/>
      <c r="M13" s="110"/>
      <c r="N13" s="88">
        <f>SUM(I13:M13)</f>
        <v>0</v>
      </c>
      <c r="O13" s="150"/>
      <c r="P13" s="23"/>
      <c r="Q13" s="156"/>
      <c r="R13" s="156"/>
      <c r="V13" s="3"/>
      <c r="W13" s="3"/>
      <c r="X13" s="3"/>
      <c r="Y13" s="3"/>
      <c r="Z13" s="3"/>
      <c r="AA13" s="3"/>
      <c r="AB13" s="3"/>
      <c r="AC13" s="3"/>
      <c r="AD13" s="3"/>
      <c r="AE13" s="3"/>
      <c r="AF13" s="3"/>
      <c r="AG13" s="3"/>
      <c r="AH13" s="3"/>
    </row>
    <row r="14" spans="1:34" ht="18.75" customHeight="1">
      <c r="A14" s="3"/>
      <c r="B14" s="112"/>
      <c r="C14" s="149" t="s">
        <v>80</v>
      </c>
      <c r="D14" s="25"/>
      <c r="E14" s="27"/>
      <c r="F14" s="7"/>
      <c r="G14" s="7"/>
      <c r="O14" s="150"/>
      <c r="P14" s="23"/>
      <c r="Q14" s="156"/>
      <c r="R14" s="156"/>
      <c r="V14" s="3"/>
      <c r="W14" s="3"/>
      <c r="X14" s="3"/>
      <c r="Y14" s="3"/>
      <c r="Z14" s="3"/>
      <c r="AA14" s="3"/>
      <c r="AB14" s="3"/>
      <c r="AC14" s="3"/>
      <c r="AD14" s="3"/>
      <c r="AE14" s="3"/>
      <c r="AF14" s="3"/>
      <c r="AG14" s="3"/>
      <c r="AH14" s="3"/>
    </row>
    <row r="15" spans="1:34" ht="15" customHeight="1">
      <c r="A15" s="3"/>
      <c r="B15" s="112"/>
      <c r="C15" s="111"/>
      <c r="D15" s="129"/>
      <c r="E15" s="130"/>
      <c r="F15" s="130"/>
      <c r="G15" s="131"/>
      <c r="H15" s="132" t="s">
        <v>49</v>
      </c>
      <c r="I15" s="133" t="s">
        <v>12</v>
      </c>
      <c r="J15" s="134" t="s">
        <v>13</v>
      </c>
      <c r="K15" s="135" t="s">
        <v>14</v>
      </c>
      <c r="L15" s="133" t="s">
        <v>15</v>
      </c>
      <c r="M15" s="133" t="s">
        <v>16</v>
      </c>
      <c r="N15" s="136"/>
      <c r="O15" s="150"/>
      <c r="P15" s="23"/>
      <c r="Q15" s="156"/>
      <c r="R15" s="156"/>
      <c r="V15" s="3"/>
      <c r="W15" s="3"/>
      <c r="X15" s="3"/>
      <c r="Y15" s="3"/>
      <c r="Z15" s="3"/>
      <c r="AA15" s="3"/>
      <c r="AB15" s="3"/>
      <c r="AC15" s="3"/>
      <c r="AD15" s="3"/>
      <c r="AE15" s="3"/>
      <c r="AF15" s="3"/>
      <c r="AG15" s="3"/>
      <c r="AH15" s="3"/>
    </row>
    <row r="16" spans="1:34" ht="23.25" customHeight="1">
      <c r="A16" s="3"/>
      <c r="B16" s="112"/>
      <c r="C16" s="147" t="s">
        <v>48</v>
      </c>
      <c r="D16" s="148"/>
      <c r="E16" s="148"/>
      <c r="F16" s="152"/>
      <c r="G16" s="137"/>
      <c r="H16" s="138" t="s">
        <v>43</v>
      </c>
      <c r="I16" s="139">
        <f>$F$16/5</f>
        <v>0</v>
      </c>
      <c r="J16" s="140">
        <f>$F$16/5</f>
        <v>0</v>
      </c>
      <c r="K16" s="140">
        <f>$F$16/5</f>
        <v>0</v>
      </c>
      <c r="L16" s="140">
        <f>$F$16/5</f>
        <v>0</v>
      </c>
      <c r="M16" s="141">
        <f>$F$16/5</f>
        <v>0</v>
      </c>
      <c r="N16" s="142" t="s">
        <v>45</v>
      </c>
      <c r="O16" s="150"/>
      <c r="P16" s="23"/>
      <c r="Q16" s="156"/>
      <c r="R16" s="156"/>
      <c r="V16" s="3"/>
      <c r="W16" s="3"/>
      <c r="X16" s="3"/>
      <c r="Y16" s="3"/>
      <c r="Z16" s="3"/>
      <c r="AA16" s="3"/>
      <c r="AB16" s="3"/>
      <c r="AC16" s="3"/>
      <c r="AD16" s="3"/>
      <c r="AE16" s="3"/>
      <c r="AF16" s="3"/>
      <c r="AG16" s="3"/>
      <c r="AH16" s="3"/>
    </row>
    <row r="17" spans="1:252" ht="22.5" customHeight="1">
      <c r="A17" s="3"/>
      <c r="B17" s="112"/>
      <c r="C17" s="143" t="s">
        <v>47</v>
      </c>
      <c r="D17" s="144"/>
      <c r="E17" s="279"/>
      <c r="F17" s="279"/>
      <c r="G17" s="153" t="b">
        <f>IF($E$17&lt;&gt;0,TRUE(),FALSE())</f>
        <v>0</v>
      </c>
      <c r="H17" s="145" t="s">
        <v>44</v>
      </c>
      <c r="I17" s="108"/>
      <c r="J17" s="109"/>
      <c r="K17" s="109"/>
      <c r="L17" s="109"/>
      <c r="M17" s="110"/>
      <c r="N17" s="146">
        <f>SUM(I17:M17)</f>
        <v>0</v>
      </c>
      <c r="O17" s="150"/>
      <c r="P17" s="23"/>
      <c r="Q17" s="156"/>
      <c r="R17" s="156"/>
      <c r="V17" s="3"/>
      <c r="W17" s="3"/>
      <c r="X17" s="3"/>
      <c r="Y17" s="3"/>
      <c r="Z17" s="3"/>
      <c r="AA17" s="3"/>
      <c r="AB17" s="3"/>
      <c r="AC17" s="3"/>
      <c r="AD17" s="3"/>
      <c r="AE17" s="3"/>
      <c r="AF17" s="3"/>
      <c r="AG17" s="3"/>
      <c r="AH17" s="3"/>
    </row>
    <row r="18" spans="1:252" ht="15">
      <c r="A18" s="3"/>
      <c r="B18" s="85"/>
      <c r="C18" s="86"/>
      <c r="D18" s="87"/>
      <c r="E18" s="87"/>
      <c r="F18" s="87"/>
      <c r="G18" s="87"/>
      <c r="H18" s="87"/>
      <c r="I18" s="87"/>
      <c r="J18" s="87"/>
      <c r="K18" s="9"/>
      <c r="L18" s="9"/>
      <c r="M18" s="9"/>
      <c r="N18" s="9"/>
      <c r="O18" s="9"/>
      <c r="P18" s="28"/>
      <c r="Q18" s="156"/>
      <c r="R18" s="156"/>
      <c r="V18" s="3"/>
      <c r="W18" s="3"/>
      <c r="X18" s="3"/>
      <c r="Y18" s="3"/>
      <c r="Z18" s="3"/>
      <c r="AA18" s="3"/>
      <c r="AB18" s="3"/>
      <c r="AC18" s="3"/>
      <c r="AD18" s="3"/>
      <c r="AE18" s="3"/>
      <c r="AF18" s="3"/>
      <c r="AG18" s="3"/>
      <c r="AH18" s="3"/>
    </row>
    <row r="19" spans="1:252" ht="15.75" thickBot="1">
      <c r="A19" s="29"/>
      <c r="B19" s="164"/>
      <c r="C19" s="68"/>
      <c r="D19" s="68"/>
      <c r="E19" s="68"/>
      <c r="F19" s="68"/>
      <c r="G19" s="68"/>
      <c r="H19" s="68"/>
      <c r="I19" s="68"/>
      <c r="J19" s="68"/>
      <c r="K19" s="68"/>
      <c r="L19" s="68"/>
      <c r="M19" s="68"/>
      <c r="N19" s="68"/>
      <c r="O19" s="68"/>
      <c r="P19" s="68"/>
      <c r="Q19" s="157"/>
      <c r="R19" s="157"/>
      <c r="S19" s="68"/>
      <c r="T19" s="68"/>
      <c r="U19" s="68"/>
    </row>
    <row r="20" spans="1:252" s="4" customFormat="1" ht="18.75" customHeight="1">
      <c r="A20" s="30"/>
      <c r="B20" s="202"/>
      <c r="C20" s="264" t="s">
        <v>29</v>
      </c>
      <c r="D20" s="265"/>
      <c r="E20" s="265"/>
      <c r="F20" s="266" t="s">
        <v>67</v>
      </c>
      <c r="G20" s="267"/>
      <c r="H20" s="268"/>
      <c r="I20" s="269" t="s">
        <v>25</v>
      </c>
      <c r="J20" s="269"/>
      <c r="K20" s="270"/>
      <c r="L20" s="271"/>
      <c r="M20" s="269"/>
      <c r="N20" s="269"/>
      <c r="O20" s="269"/>
      <c r="P20" s="270"/>
      <c r="Q20" s="158"/>
      <c r="R20" s="158"/>
      <c r="S20" s="70" t="s">
        <v>22</v>
      </c>
      <c r="T20" s="70" t="s">
        <v>23</v>
      </c>
      <c r="U20" s="70" t="s">
        <v>23</v>
      </c>
      <c r="V20" s="71" t="s">
        <v>24</v>
      </c>
      <c r="W20" s="71" t="s">
        <v>22</v>
      </c>
      <c r="X20" s="71" t="s">
        <v>22</v>
      </c>
      <c r="Y20" s="71"/>
      <c r="Z20" s="71"/>
      <c r="AA20" s="70"/>
      <c r="AB20" s="70"/>
      <c r="AC20" s="71"/>
      <c r="AD20" s="97"/>
      <c r="AE20" s="97"/>
      <c r="AF20" s="98"/>
      <c r="AG20" s="98"/>
      <c r="AH20" s="98"/>
    </row>
    <row r="21" spans="1:252" ht="18.75" customHeight="1">
      <c r="A21" s="31">
        <f>DATEVALUE(I2&amp;K2)</f>
        <v>42887</v>
      </c>
      <c r="B21" s="203" t="s">
        <v>0</v>
      </c>
      <c r="C21" s="1" t="s">
        <v>8</v>
      </c>
      <c r="D21" s="5"/>
      <c r="E21" s="204" t="s">
        <v>18</v>
      </c>
      <c r="F21" s="173" t="s">
        <v>1</v>
      </c>
      <c r="G21" s="174" t="s">
        <v>6</v>
      </c>
      <c r="H21" s="175" t="s">
        <v>2</v>
      </c>
      <c r="I21" s="204" t="s">
        <v>17</v>
      </c>
      <c r="J21" s="2" t="s">
        <v>21</v>
      </c>
      <c r="K21" s="204" t="s">
        <v>19</v>
      </c>
      <c r="L21" s="275" t="s">
        <v>71</v>
      </c>
      <c r="M21" s="276"/>
      <c r="N21" s="276"/>
      <c r="O21" s="276"/>
      <c r="P21" s="277"/>
      <c r="Q21" s="159"/>
      <c r="R21" s="159"/>
      <c r="S21" s="72" t="s">
        <v>11</v>
      </c>
      <c r="T21" s="72" t="s">
        <v>1</v>
      </c>
      <c r="U21" s="72" t="s">
        <v>6</v>
      </c>
      <c r="V21" s="73" t="s">
        <v>2</v>
      </c>
      <c r="W21" s="73" t="s">
        <v>20</v>
      </c>
      <c r="X21" s="74" t="s">
        <v>21</v>
      </c>
      <c r="Y21" s="73" t="s">
        <v>19</v>
      </c>
      <c r="Z21" s="75"/>
    </row>
    <row r="22" spans="1:252" ht="20.25" customHeight="1">
      <c r="A22" s="32" t="str">
        <f t="shared" ref="A22:A52" si="0">TEXT(B22,"TTTT")</f>
        <v>Donnerstag</v>
      </c>
      <c r="B22" s="33">
        <f>($A$21+ROW(B1)-1)*(MONTH($A$21+1)=MONTH($A$21))</f>
        <v>42887</v>
      </c>
      <c r="C22" s="185" t="str">
        <f>IF(OR(A22="Samstag",A22="Sonntag"),"",IF(COUNTIF(Übersicht!C$16:C$30,B22)&gt;0,"BA",""))</f>
        <v/>
      </c>
      <c r="D22" s="34"/>
      <c r="E22" s="172">
        <f>IF(OR(A22="Samstag",A22="Sonntag",C22="BA"),"",
IF(C22="SV",D22,
IF(OR($E$17="",B22&lt;$E$17),IF($N$13=0,HLOOKUP($A22,$I$11:$M$12,2,FALSE),IF($N$13=$F$12,HLOOKUP($A22,$I$11:$M$13,3,FALSE),"FEHLER")),
IF($N$17=0,HLOOKUP($A22,$I$15:$M$16,2,FALSE),IF($N$17=$F$16,HLOOKUP($A22,$I$15:$M$17,3,FALSE),"FEHLER")))))</f>
        <v>2</v>
      </c>
      <c r="F22" s="195">
        <v>0.51041666666666663</v>
      </c>
      <c r="G22" s="196"/>
      <c r="H22" s="197">
        <v>0.72916666666666663</v>
      </c>
      <c r="I22" s="38">
        <f t="shared" ref="I22:I52" si="1">IF(OR(C22="K",C22="U",C22="F"),E22,IF(C22="SU",IF(H22="",D22,((H22-F22)-G22)+D22),IF(AND(H22="",E22=""),0,((H22-F22)-G22)*24)))</f>
        <v>5.25</v>
      </c>
      <c r="J22" s="35">
        <f>IF(E22="Fehler",0,IF(E22="",I22,I22-E22))</f>
        <v>3.25</v>
      </c>
      <c r="K22" s="36">
        <f>M7+J22</f>
        <v>19</v>
      </c>
      <c r="L22" s="251"/>
      <c r="M22" s="252"/>
      <c r="N22" s="252"/>
      <c r="O22" s="252"/>
      <c r="P22" s="253"/>
      <c r="Q22" s="89"/>
      <c r="R22" s="165"/>
      <c r="S22" s="76"/>
      <c r="T22" s="76"/>
      <c r="U22" s="76"/>
      <c r="V22" s="76"/>
      <c r="W22" s="76"/>
      <c r="X22" s="76"/>
      <c r="Y22" s="76"/>
      <c r="Z22" s="76"/>
      <c r="AB22" s="166"/>
      <c r="AE22" s="99"/>
    </row>
    <row r="23" spans="1:252" s="96" customFormat="1" ht="20.25" customHeight="1">
      <c r="A23" s="32" t="str">
        <f t="shared" si="0"/>
        <v>Freitag</v>
      </c>
      <c r="B23" s="37">
        <f t="shared" ref="B23:B52" si="2">($A$21+ROW(B2)-1)*(MONTH(B22+1)=MONTH($A$21))</f>
        <v>42888</v>
      </c>
      <c r="C23" s="185" t="str">
        <f>IF(OR(A23="Samstag",A23="Sonntag"),"",IF(COUNTIF(Übersicht!C$16:C$30,B23)&gt;0,"BA",""))</f>
        <v/>
      </c>
      <c r="D23" s="38"/>
      <c r="E23" s="172">
        <f>IF(OR(A23="Samstag",A23="Sonntag",C23="BA"),"",
IF(C23="SV",D23,
IF(OR($E$17="",B23&lt;$E$17),IF($N$13=0,HLOOKUP($A23,$I$11:$M$12,2,FALSE),IF($N$13=$F$12,HLOOKUP($A23,$I$11:$M$13,3,FALSE),"FEHLER")),
IF($N$17=0,HLOOKUP($A23,$I$15:$M$16,2,FALSE),IF($N$17=$F$16,HLOOKUP($A23,$I$15:$M$17,3,FALSE),"FEHLER")))))</f>
        <v>2</v>
      </c>
      <c r="F23" s="176"/>
      <c r="G23" s="177"/>
      <c r="H23" s="178"/>
      <c r="I23" s="38">
        <f t="shared" si="1"/>
        <v>0</v>
      </c>
      <c r="J23" s="35">
        <f t="shared" ref="J23:J52" si="3">IF(E23="Fehler",0,IF(E23="",I23,I23-E23))</f>
        <v>-2</v>
      </c>
      <c r="K23" s="36">
        <f>SUM(K22,J23)</f>
        <v>17</v>
      </c>
      <c r="L23" s="251"/>
      <c r="M23" s="252"/>
      <c r="N23" s="252"/>
      <c r="O23" s="252"/>
      <c r="P23" s="253"/>
      <c r="Q23" s="89"/>
      <c r="R23" s="165"/>
      <c r="S23" s="76"/>
      <c r="T23" s="76"/>
      <c r="U23" s="76"/>
      <c r="V23" s="76"/>
      <c r="W23" s="76"/>
      <c r="X23" s="76"/>
      <c r="Y23" s="76"/>
      <c r="Z23" s="76"/>
      <c r="AA23" s="68"/>
      <c r="AB23" s="166"/>
      <c r="AC23" s="6"/>
      <c r="AD23" s="95"/>
      <c r="AE23" s="99"/>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row>
    <row r="24" spans="1:252" s="96" customFormat="1" ht="20.25" customHeight="1">
      <c r="A24" s="32" t="str">
        <f t="shared" si="0"/>
        <v>Samstag</v>
      </c>
      <c r="B24" s="37">
        <f t="shared" si="2"/>
        <v>42889</v>
      </c>
      <c r="C24" s="185" t="str">
        <f>IF(OR(A24="Samstag",A24="Sonntag"),"",IF(COUNTIF(Übersicht!C$16:C$30,B24)&gt;0,"BA",""))</f>
        <v/>
      </c>
      <c r="D24" s="38"/>
      <c r="E24" s="172" t="str">
        <f t="shared" ref="E24:E52" si="4">IF(OR(A24="Samstag",A24="Sonntag",C24="BA"),"",
IF(C24="SV",D24,
IF(OR($E$17="",B24&lt;$E$17),IF($N$13=0,HLOOKUP($A24,$I$11:$M$12,2,FALSE),IF($N$13=$F$12,HLOOKUP($A24,$I$11:$M$13,3,FALSE),"FEHLER")),
IF($N$17=0,HLOOKUP($A24,$I$15:$M$16,2,FALSE),IF($N$17=$F$16,HLOOKUP($A24,$I$15:$M$17,3,FALSE),"FEHLER")))))</f>
        <v/>
      </c>
      <c r="F24" s="176"/>
      <c r="G24" s="177"/>
      <c r="H24" s="178"/>
      <c r="I24" s="38">
        <f t="shared" si="1"/>
        <v>0</v>
      </c>
      <c r="J24" s="35">
        <f t="shared" si="3"/>
        <v>0</v>
      </c>
      <c r="K24" s="36">
        <f t="shared" ref="K24:K52" si="5">SUM(K23,J24)</f>
        <v>17</v>
      </c>
      <c r="L24" s="251"/>
      <c r="M24" s="252"/>
      <c r="N24" s="252"/>
      <c r="O24" s="252"/>
      <c r="P24" s="253"/>
      <c r="Q24" s="89"/>
      <c r="R24" s="165"/>
      <c r="S24" s="76"/>
      <c r="T24" s="76"/>
      <c r="U24" s="76"/>
      <c r="V24" s="76"/>
      <c r="W24" s="76"/>
      <c r="X24" s="76"/>
      <c r="Y24" s="76"/>
      <c r="Z24" s="76"/>
      <c r="AA24" s="68"/>
      <c r="AB24" s="166"/>
      <c r="AC24" s="6"/>
      <c r="AD24" s="95"/>
      <c r="AE24" s="99"/>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row>
    <row r="25" spans="1:252" s="96" customFormat="1" ht="20.25" customHeight="1">
      <c r="A25" s="32" t="str">
        <f t="shared" si="0"/>
        <v>Sonntag</v>
      </c>
      <c r="B25" s="37">
        <f t="shared" si="2"/>
        <v>42890</v>
      </c>
      <c r="C25" s="185" t="str">
        <f>IF(OR(A25="Samstag",A25="Sonntag"),"",IF(COUNTIF(Übersicht!C$16:C$30,B25)&gt;0,"BA",""))</f>
        <v/>
      </c>
      <c r="D25" s="38"/>
      <c r="E25" s="172" t="str">
        <f t="shared" si="4"/>
        <v/>
      </c>
      <c r="F25" s="176"/>
      <c r="G25" s="177"/>
      <c r="H25" s="178"/>
      <c r="I25" s="38">
        <f t="shared" si="1"/>
        <v>0</v>
      </c>
      <c r="J25" s="35">
        <f t="shared" si="3"/>
        <v>0</v>
      </c>
      <c r="K25" s="36">
        <f t="shared" si="5"/>
        <v>17</v>
      </c>
      <c r="L25" s="251"/>
      <c r="M25" s="252"/>
      <c r="N25" s="252"/>
      <c r="O25" s="252"/>
      <c r="P25" s="253"/>
      <c r="Q25" s="89"/>
      <c r="R25" s="165"/>
      <c r="S25" s="76"/>
      <c r="T25" s="76"/>
      <c r="U25" s="76"/>
      <c r="V25" s="76"/>
      <c r="W25" s="76"/>
      <c r="X25" s="76"/>
      <c r="Y25" s="76"/>
      <c r="Z25" s="76"/>
      <c r="AA25" s="68"/>
      <c r="AB25" s="166"/>
      <c r="AC25" s="6"/>
      <c r="AD25" s="95"/>
      <c r="AE25" s="99"/>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row>
    <row r="26" spans="1:252" s="96" customFormat="1" ht="20.25" customHeight="1">
      <c r="A26" s="32" t="str">
        <f t="shared" si="0"/>
        <v>Montag</v>
      </c>
      <c r="B26" s="37">
        <f t="shared" si="2"/>
        <v>42891</v>
      </c>
      <c r="C26" s="185" t="str">
        <f>IF(OR(A26="Samstag",A26="Sonntag"),"",IF(COUNTIF(Übersicht!C$16:C$30,B26)&gt;0,"BA",""))</f>
        <v>BA</v>
      </c>
      <c r="D26" s="38"/>
      <c r="E26" s="172" t="str">
        <f t="shared" si="4"/>
        <v/>
      </c>
      <c r="F26" s="176"/>
      <c r="G26" s="177"/>
      <c r="H26" s="178"/>
      <c r="I26" s="38">
        <f t="shared" si="1"/>
        <v>0</v>
      </c>
      <c r="J26" s="35">
        <f t="shared" si="3"/>
        <v>0</v>
      </c>
      <c r="K26" s="36">
        <f t="shared" si="5"/>
        <v>17</v>
      </c>
      <c r="L26" s="251"/>
      <c r="M26" s="252"/>
      <c r="N26" s="252"/>
      <c r="O26" s="252"/>
      <c r="P26" s="253"/>
      <c r="Q26" s="89"/>
      <c r="R26" s="165"/>
      <c r="S26" s="76"/>
      <c r="T26" s="76"/>
      <c r="U26" s="76"/>
      <c r="V26" s="76"/>
      <c r="W26" s="76"/>
      <c r="X26" s="76"/>
      <c r="Y26" s="76"/>
      <c r="Z26" s="76"/>
      <c r="AA26" s="68"/>
      <c r="AB26" s="166"/>
      <c r="AC26" s="6"/>
      <c r="AD26" s="95"/>
      <c r="AE26" s="99"/>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row>
    <row r="27" spans="1:252" s="96" customFormat="1" ht="20.25" customHeight="1">
      <c r="A27" s="32" t="str">
        <f t="shared" si="0"/>
        <v>Dienstag</v>
      </c>
      <c r="B27" s="37">
        <f t="shared" si="2"/>
        <v>42892</v>
      </c>
      <c r="C27" s="185" t="str">
        <f>IF(OR(A27="Samstag",A27="Sonntag"),"",IF(COUNTIF(Übersicht!C$16:C$30,B27)&gt;0,"BA",""))</f>
        <v/>
      </c>
      <c r="D27" s="38"/>
      <c r="E27" s="172">
        <f t="shared" si="4"/>
        <v>2</v>
      </c>
      <c r="F27" s="176"/>
      <c r="G27" s="177"/>
      <c r="H27" s="178"/>
      <c r="I27" s="38">
        <f t="shared" si="1"/>
        <v>0</v>
      </c>
      <c r="J27" s="35">
        <f t="shared" si="3"/>
        <v>-2</v>
      </c>
      <c r="K27" s="36">
        <f>SUM(K26,J27)</f>
        <v>15</v>
      </c>
      <c r="L27" s="251"/>
      <c r="M27" s="252"/>
      <c r="N27" s="252"/>
      <c r="O27" s="252"/>
      <c r="P27" s="253"/>
      <c r="Q27" s="89"/>
      <c r="R27" s="165"/>
      <c r="S27" s="76"/>
      <c r="T27" s="76"/>
      <c r="U27" s="76"/>
      <c r="V27" s="76"/>
      <c r="W27" s="76"/>
      <c r="X27" s="76"/>
      <c r="Y27" s="76"/>
      <c r="Z27" s="76"/>
      <c r="AA27" s="68"/>
      <c r="AB27" s="166"/>
      <c r="AC27" s="6"/>
      <c r="AD27" s="95"/>
      <c r="AE27" s="99"/>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row>
    <row r="28" spans="1:252" s="96" customFormat="1" ht="20.25" customHeight="1">
      <c r="A28" s="32" t="str">
        <f t="shared" si="0"/>
        <v>Mittwoch</v>
      </c>
      <c r="B28" s="37">
        <f t="shared" si="2"/>
        <v>42893</v>
      </c>
      <c r="C28" s="185" t="str">
        <f>IF(OR(A28="Samstag",A28="Sonntag"),"",IF(COUNTIF(Übersicht!C$16:C$30,B28)&gt;0,"BA",""))</f>
        <v/>
      </c>
      <c r="D28" s="38"/>
      <c r="E28" s="172">
        <f t="shared" si="4"/>
        <v>2</v>
      </c>
      <c r="F28" s="176"/>
      <c r="G28" s="177"/>
      <c r="H28" s="178"/>
      <c r="I28" s="38">
        <f t="shared" si="1"/>
        <v>0</v>
      </c>
      <c r="J28" s="35">
        <f t="shared" si="3"/>
        <v>-2</v>
      </c>
      <c r="K28" s="36">
        <f t="shared" si="5"/>
        <v>13</v>
      </c>
      <c r="L28" s="251"/>
      <c r="M28" s="252"/>
      <c r="N28" s="252"/>
      <c r="O28" s="252"/>
      <c r="P28" s="253"/>
      <c r="Q28" s="89"/>
      <c r="R28" s="165"/>
      <c r="S28" s="76"/>
      <c r="T28" s="76"/>
      <c r="U28" s="76"/>
      <c r="V28" s="76"/>
      <c r="W28" s="76"/>
      <c r="X28" s="76"/>
      <c r="Y28" s="76"/>
      <c r="Z28" s="76"/>
      <c r="AA28" s="68"/>
      <c r="AB28" s="166"/>
      <c r="AC28" s="6"/>
      <c r="AD28" s="95"/>
      <c r="AE28" s="99"/>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row>
    <row r="29" spans="1:252" s="96" customFormat="1" ht="20.25" customHeight="1">
      <c r="A29" s="32" t="str">
        <f t="shared" si="0"/>
        <v>Donnerstag</v>
      </c>
      <c r="B29" s="37">
        <f t="shared" si="2"/>
        <v>42894</v>
      </c>
      <c r="C29" s="185" t="str">
        <f>IF(OR(A29="Samstag",A29="Sonntag"),"",IF(COUNTIF(Übersicht!C$16:C$30,B29)&gt;0,"BA",""))</f>
        <v/>
      </c>
      <c r="D29" s="38"/>
      <c r="E29" s="172">
        <f t="shared" si="4"/>
        <v>2</v>
      </c>
      <c r="F29" s="176"/>
      <c r="G29" s="177"/>
      <c r="H29" s="178"/>
      <c r="I29" s="38">
        <f t="shared" si="1"/>
        <v>0</v>
      </c>
      <c r="J29" s="35">
        <f t="shared" si="3"/>
        <v>-2</v>
      </c>
      <c r="K29" s="36">
        <f t="shared" si="5"/>
        <v>11</v>
      </c>
      <c r="L29" s="251"/>
      <c r="M29" s="252"/>
      <c r="N29" s="252"/>
      <c r="O29" s="252"/>
      <c r="P29" s="253"/>
      <c r="Q29" s="89"/>
      <c r="R29" s="165"/>
      <c r="S29" s="76"/>
      <c r="T29" s="76"/>
      <c r="U29" s="76"/>
      <c r="V29" s="76"/>
      <c r="W29" s="76"/>
      <c r="X29" s="76"/>
      <c r="Y29" s="76"/>
      <c r="Z29" s="76"/>
      <c r="AA29" s="68"/>
      <c r="AB29" s="166"/>
      <c r="AC29" s="6"/>
      <c r="AD29" s="95"/>
      <c r="AE29" s="99"/>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row>
    <row r="30" spans="1:252" s="96" customFormat="1" ht="20.25" customHeight="1">
      <c r="A30" s="32" t="str">
        <f t="shared" si="0"/>
        <v>Freitag</v>
      </c>
      <c r="B30" s="37">
        <f t="shared" si="2"/>
        <v>42895</v>
      </c>
      <c r="C30" s="185" t="str">
        <f>IF(OR(A30="Samstag",A30="Sonntag"),"",IF(COUNTIF(Übersicht!C$16:C$30,B30)&gt;0,"BA",""))</f>
        <v/>
      </c>
      <c r="D30" s="38"/>
      <c r="E30" s="172">
        <f t="shared" si="4"/>
        <v>2</v>
      </c>
      <c r="F30" s="176"/>
      <c r="G30" s="177"/>
      <c r="H30" s="178"/>
      <c r="I30" s="38">
        <f t="shared" si="1"/>
        <v>0</v>
      </c>
      <c r="J30" s="35">
        <f t="shared" si="3"/>
        <v>-2</v>
      </c>
      <c r="K30" s="36">
        <f t="shared" si="5"/>
        <v>9</v>
      </c>
      <c r="L30" s="251"/>
      <c r="M30" s="252"/>
      <c r="N30" s="252"/>
      <c r="O30" s="252"/>
      <c r="P30" s="253"/>
      <c r="Q30" s="89"/>
      <c r="R30" s="165"/>
      <c r="S30" s="76"/>
      <c r="T30" s="76"/>
      <c r="U30" s="76"/>
      <c r="V30" s="76"/>
      <c r="W30" s="76"/>
      <c r="X30" s="76"/>
      <c r="Y30" s="76"/>
      <c r="Z30" s="76"/>
      <c r="AA30" s="68"/>
      <c r="AB30" s="166"/>
      <c r="AC30" s="6"/>
      <c r="AD30" s="95"/>
      <c r="AE30" s="99"/>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row>
    <row r="31" spans="1:252" s="96" customFormat="1" ht="20.25" customHeight="1">
      <c r="A31" s="32" t="str">
        <f t="shared" si="0"/>
        <v>Samstag</v>
      </c>
      <c r="B31" s="37">
        <f t="shared" si="2"/>
        <v>42896</v>
      </c>
      <c r="C31" s="185" t="str">
        <f>IF(OR(A31="Samstag",A31="Sonntag"),"",IF(COUNTIF(Übersicht!C$16:C$30,B31)&gt;0,"BA",""))</f>
        <v/>
      </c>
      <c r="D31" s="38"/>
      <c r="E31" s="172" t="str">
        <f t="shared" si="4"/>
        <v/>
      </c>
      <c r="F31" s="176"/>
      <c r="G31" s="177"/>
      <c r="H31" s="178"/>
      <c r="I31" s="38">
        <f t="shared" si="1"/>
        <v>0</v>
      </c>
      <c r="J31" s="35">
        <f t="shared" si="3"/>
        <v>0</v>
      </c>
      <c r="K31" s="36">
        <f t="shared" si="5"/>
        <v>9</v>
      </c>
      <c r="L31" s="251"/>
      <c r="M31" s="252"/>
      <c r="N31" s="252"/>
      <c r="O31" s="252"/>
      <c r="P31" s="253"/>
      <c r="Q31" s="89"/>
      <c r="R31" s="165"/>
      <c r="S31" s="76"/>
      <c r="T31" s="76"/>
      <c r="U31" s="76"/>
      <c r="V31" s="76"/>
      <c r="W31" s="76"/>
      <c r="X31" s="76"/>
      <c r="Y31" s="76"/>
      <c r="Z31" s="76"/>
      <c r="AA31" s="68"/>
      <c r="AB31" s="166"/>
      <c r="AC31" s="6"/>
      <c r="AD31" s="95"/>
      <c r="AE31" s="99"/>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row>
    <row r="32" spans="1:252" s="96" customFormat="1" ht="20.25" customHeight="1">
      <c r="A32" s="32" t="str">
        <f t="shared" si="0"/>
        <v>Sonntag</v>
      </c>
      <c r="B32" s="37">
        <f t="shared" si="2"/>
        <v>42897</v>
      </c>
      <c r="C32" s="185" t="str">
        <f>IF(OR(A32="Samstag",A32="Sonntag"),"",IF(COUNTIF(Übersicht!C$16:C$30,B32)&gt;0,"BA",""))</f>
        <v/>
      </c>
      <c r="D32" s="38"/>
      <c r="E32" s="172" t="str">
        <f t="shared" si="4"/>
        <v/>
      </c>
      <c r="F32" s="176"/>
      <c r="G32" s="177"/>
      <c r="H32" s="178"/>
      <c r="I32" s="38">
        <f t="shared" si="1"/>
        <v>0</v>
      </c>
      <c r="J32" s="35">
        <f t="shared" si="3"/>
        <v>0</v>
      </c>
      <c r="K32" s="36">
        <f t="shared" si="5"/>
        <v>9</v>
      </c>
      <c r="L32" s="251"/>
      <c r="M32" s="252"/>
      <c r="N32" s="252"/>
      <c r="O32" s="252"/>
      <c r="P32" s="253"/>
      <c r="Q32" s="89"/>
      <c r="R32" s="165"/>
      <c r="S32" s="76"/>
      <c r="T32" s="76"/>
      <c r="U32" s="76"/>
      <c r="V32" s="76"/>
      <c r="W32" s="76"/>
      <c r="X32" s="76"/>
      <c r="Y32" s="76"/>
      <c r="Z32" s="76"/>
      <c r="AA32" s="68"/>
      <c r="AB32" s="166"/>
      <c r="AC32" s="6"/>
      <c r="AD32" s="95"/>
      <c r="AE32" s="99"/>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row>
    <row r="33" spans="1:252" s="96" customFormat="1" ht="20.25" customHeight="1">
      <c r="A33" s="32" t="str">
        <f t="shared" si="0"/>
        <v>Montag</v>
      </c>
      <c r="B33" s="37">
        <f t="shared" si="2"/>
        <v>42898</v>
      </c>
      <c r="C33" s="185" t="str">
        <f>IF(OR(A33="Samstag",A33="Sonntag"),"",IF(COUNTIF(Übersicht!C$16:C$30,B33)&gt;0,"BA",""))</f>
        <v/>
      </c>
      <c r="D33" s="38"/>
      <c r="E33" s="172">
        <f t="shared" si="4"/>
        <v>2</v>
      </c>
      <c r="F33" s="176"/>
      <c r="G33" s="177"/>
      <c r="H33" s="178"/>
      <c r="I33" s="38">
        <f t="shared" si="1"/>
        <v>0</v>
      </c>
      <c r="J33" s="35">
        <f t="shared" si="3"/>
        <v>-2</v>
      </c>
      <c r="K33" s="36">
        <f t="shared" si="5"/>
        <v>7</v>
      </c>
      <c r="L33" s="251"/>
      <c r="M33" s="252"/>
      <c r="N33" s="252"/>
      <c r="O33" s="252"/>
      <c r="P33" s="253"/>
      <c r="Q33" s="89"/>
      <c r="R33" s="165"/>
      <c r="S33" s="76"/>
      <c r="T33" s="76"/>
      <c r="U33" s="76"/>
      <c r="V33" s="76"/>
      <c r="W33" s="76"/>
      <c r="X33" s="76"/>
      <c r="Y33" s="76"/>
      <c r="Z33" s="76"/>
      <c r="AA33" s="68"/>
      <c r="AB33" s="166"/>
      <c r="AC33" s="6"/>
      <c r="AD33" s="95"/>
      <c r="AE33" s="99"/>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row>
    <row r="34" spans="1:252" s="96" customFormat="1" ht="20.25" customHeight="1">
      <c r="A34" s="32" t="str">
        <f t="shared" si="0"/>
        <v>Dienstag</v>
      </c>
      <c r="B34" s="37">
        <f t="shared" si="2"/>
        <v>42899</v>
      </c>
      <c r="C34" s="185" t="str">
        <f>IF(OR(A34="Samstag",A34="Sonntag"),"",IF(COUNTIF(Übersicht!C$16:C$30,B34)&gt;0,"BA",""))</f>
        <v/>
      </c>
      <c r="D34" s="38"/>
      <c r="E34" s="172">
        <f t="shared" si="4"/>
        <v>2</v>
      </c>
      <c r="F34" s="176"/>
      <c r="G34" s="177"/>
      <c r="H34" s="178"/>
      <c r="I34" s="38">
        <f t="shared" si="1"/>
        <v>0</v>
      </c>
      <c r="J34" s="35">
        <f t="shared" si="3"/>
        <v>-2</v>
      </c>
      <c r="K34" s="36">
        <f t="shared" si="5"/>
        <v>5</v>
      </c>
      <c r="L34" s="251"/>
      <c r="M34" s="252"/>
      <c r="N34" s="252"/>
      <c r="O34" s="252"/>
      <c r="P34" s="253"/>
      <c r="Q34" s="89"/>
      <c r="R34" s="165"/>
      <c r="S34" s="76"/>
      <c r="T34" s="76"/>
      <c r="U34" s="76"/>
      <c r="V34" s="76"/>
      <c r="W34" s="76"/>
      <c r="X34" s="76"/>
      <c r="Y34" s="76"/>
      <c r="Z34" s="76"/>
      <c r="AA34" s="68"/>
      <c r="AB34" s="166"/>
      <c r="AC34" s="6"/>
      <c r="AD34" s="95"/>
      <c r="AE34" s="99"/>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row>
    <row r="35" spans="1:252" s="96" customFormat="1" ht="20.25" customHeight="1">
      <c r="A35" s="32" t="str">
        <f t="shared" si="0"/>
        <v>Mittwoch</v>
      </c>
      <c r="B35" s="37">
        <f t="shared" si="2"/>
        <v>42900</v>
      </c>
      <c r="C35" s="185" t="str">
        <f>IF(OR(A35="Samstag",A35="Sonntag"),"",IF(COUNTIF(Übersicht!C$16:C$30,B35)&gt;0,"BA",""))</f>
        <v/>
      </c>
      <c r="D35" s="38"/>
      <c r="E35" s="172">
        <f t="shared" si="4"/>
        <v>2</v>
      </c>
      <c r="F35" s="176">
        <v>0.34375</v>
      </c>
      <c r="G35" s="177">
        <v>2.0833333333333332E-2</v>
      </c>
      <c r="H35" s="178">
        <v>0.6875</v>
      </c>
      <c r="I35" s="38">
        <f t="shared" si="1"/>
        <v>7.75</v>
      </c>
      <c r="J35" s="35">
        <f t="shared" si="3"/>
        <v>5.75</v>
      </c>
      <c r="K35" s="36">
        <f t="shared" si="5"/>
        <v>10.75</v>
      </c>
      <c r="L35" s="251"/>
      <c r="M35" s="252"/>
      <c r="N35" s="252"/>
      <c r="O35" s="252"/>
      <c r="P35" s="253"/>
      <c r="Q35" s="89"/>
      <c r="R35" s="165"/>
      <c r="S35" s="76"/>
      <c r="T35" s="76"/>
      <c r="U35" s="76"/>
      <c r="V35" s="76"/>
      <c r="W35" s="76"/>
      <c r="X35" s="76"/>
      <c r="Y35" s="76"/>
      <c r="Z35" s="76"/>
      <c r="AA35" s="68"/>
      <c r="AB35" s="166"/>
      <c r="AC35" s="6"/>
      <c r="AD35" s="95"/>
      <c r="AE35" s="99"/>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row>
    <row r="36" spans="1:252" s="96" customFormat="1" ht="20.25" customHeight="1">
      <c r="A36" s="32" t="str">
        <f t="shared" si="0"/>
        <v>Donnerstag</v>
      </c>
      <c r="B36" s="37">
        <f t="shared" si="2"/>
        <v>42901</v>
      </c>
      <c r="C36" s="185" t="str">
        <f>IF(OR(A36="Samstag",A36="Sonntag"),"",IF(COUNTIF(Übersicht!C$16:C$30,B36)&gt;0,"BA",""))</f>
        <v>BA</v>
      </c>
      <c r="D36" s="38"/>
      <c r="E36" s="172" t="str">
        <f t="shared" si="4"/>
        <v/>
      </c>
      <c r="F36" s="176"/>
      <c r="G36" s="177"/>
      <c r="H36" s="178"/>
      <c r="I36" s="38">
        <f t="shared" si="1"/>
        <v>0</v>
      </c>
      <c r="J36" s="35">
        <f t="shared" si="3"/>
        <v>0</v>
      </c>
      <c r="K36" s="36">
        <f t="shared" si="5"/>
        <v>10.75</v>
      </c>
      <c r="L36" s="251"/>
      <c r="M36" s="252"/>
      <c r="N36" s="252"/>
      <c r="O36" s="252"/>
      <c r="P36" s="253"/>
      <c r="Q36" s="89"/>
      <c r="R36" s="165"/>
      <c r="S36" s="76"/>
      <c r="T36" s="76"/>
      <c r="U36" s="76"/>
      <c r="V36" s="76"/>
      <c r="W36" s="76"/>
      <c r="X36" s="76"/>
      <c r="Y36" s="76"/>
      <c r="Z36" s="76"/>
      <c r="AA36" s="68"/>
      <c r="AB36" s="166"/>
      <c r="AC36" s="6"/>
      <c r="AD36" s="95"/>
      <c r="AE36" s="99"/>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row>
    <row r="37" spans="1:252" s="96" customFormat="1" ht="20.25" customHeight="1">
      <c r="A37" s="32" t="str">
        <f t="shared" si="0"/>
        <v>Freitag</v>
      </c>
      <c r="B37" s="37">
        <f t="shared" si="2"/>
        <v>42902</v>
      </c>
      <c r="C37" s="185" t="str">
        <f>IF(OR(A37="Samstag",A37="Sonntag"),"",IF(COUNTIF(Übersicht!C$16:C$30,B37)&gt;0,"BA",""))</f>
        <v/>
      </c>
      <c r="D37" s="38"/>
      <c r="E37" s="172">
        <f t="shared" si="4"/>
        <v>2</v>
      </c>
      <c r="F37" s="176">
        <v>0.35416666666666669</v>
      </c>
      <c r="G37" s="177"/>
      <c r="H37" s="178">
        <v>0.60416666666666663</v>
      </c>
      <c r="I37" s="38">
        <f t="shared" si="1"/>
        <v>5.9999999999999982</v>
      </c>
      <c r="J37" s="35">
        <f t="shared" si="3"/>
        <v>3.9999999999999982</v>
      </c>
      <c r="K37" s="36">
        <f t="shared" si="5"/>
        <v>14.749999999999998</v>
      </c>
      <c r="L37" s="251"/>
      <c r="M37" s="252"/>
      <c r="N37" s="252"/>
      <c r="O37" s="252"/>
      <c r="P37" s="253"/>
      <c r="Q37" s="89"/>
      <c r="R37" s="165"/>
      <c r="S37" s="76"/>
      <c r="T37" s="76"/>
      <c r="U37" s="76"/>
      <c r="V37" s="76"/>
      <c r="W37" s="76"/>
      <c r="X37" s="76"/>
      <c r="Y37" s="76"/>
      <c r="Z37" s="76"/>
      <c r="AA37" s="68"/>
      <c r="AB37" s="166"/>
      <c r="AC37" s="6"/>
      <c r="AD37" s="95"/>
      <c r="AE37" s="99"/>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row>
    <row r="38" spans="1:252" s="96" customFormat="1" ht="20.25" customHeight="1">
      <c r="A38" s="32" t="str">
        <f t="shared" si="0"/>
        <v>Samstag</v>
      </c>
      <c r="B38" s="37">
        <f t="shared" si="2"/>
        <v>42903</v>
      </c>
      <c r="C38" s="185" t="str">
        <f>IF(OR(A38="Samstag",A38="Sonntag"),"",IF(COUNTIF(Übersicht!C$16:C$30,B38)&gt;0,"BA",""))</f>
        <v/>
      </c>
      <c r="D38" s="38"/>
      <c r="E38" s="172" t="str">
        <f t="shared" si="4"/>
        <v/>
      </c>
      <c r="F38" s="176"/>
      <c r="G38" s="177"/>
      <c r="H38" s="178"/>
      <c r="I38" s="38">
        <f t="shared" si="1"/>
        <v>0</v>
      </c>
      <c r="J38" s="35">
        <f t="shared" si="3"/>
        <v>0</v>
      </c>
      <c r="K38" s="36">
        <f t="shared" si="5"/>
        <v>14.749999999999998</v>
      </c>
      <c r="L38" s="251"/>
      <c r="M38" s="252"/>
      <c r="N38" s="252"/>
      <c r="O38" s="252"/>
      <c r="P38" s="253"/>
      <c r="Q38" s="89"/>
      <c r="R38" s="165"/>
      <c r="S38" s="76"/>
      <c r="T38" s="76"/>
      <c r="U38" s="76"/>
      <c r="V38" s="76"/>
      <c r="W38" s="76"/>
      <c r="X38" s="76"/>
      <c r="Y38" s="76"/>
      <c r="Z38" s="76"/>
      <c r="AA38" s="68"/>
      <c r="AB38" s="166"/>
      <c r="AC38" s="6"/>
      <c r="AD38" s="95"/>
      <c r="AE38" s="99"/>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row>
    <row r="39" spans="1:252" s="96" customFormat="1" ht="20.25" customHeight="1">
      <c r="A39" s="32" t="str">
        <f t="shared" si="0"/>
        <v>Sonntag</v>
      </c>
      <c r="B39" s="37">
        <f t="shared" si="2"/>
        <v>42904</v>
      </c>
      <c r="C39" s="185" t="str">
        <f>IF(OR(A39="Samstag",A39="Sonntag"),"",IF(COUNTIF(Übersicht!C$16:C$30,B39)&gt;0,"BA",""))</f>
        <v/>
      </c>
      <c r="D39" s="38"/>
      <c r="E39" s="172" t="str">
        <f t="shared" si="4"/>
        <v/>
      </c>
      <c r="F39" s="176"/>
      <c r="G39" s="177"/>
      <c r="H39" s="178"/>
      <c r="I39" s="38">
        <f t="shared" si="1"/>
        <v>0</v>
      </c>
      <c r="J39" s="35">
        <f t="shared" si="3"/>
        <v>0</v>
      </c>
      <c r="K39" s="36">
        <f t="shared" si="5"/>
        <v>14.749999999999998</v>
      </c>
      <c r="L39" s="251"/>
      <c r="M39" s="252"/>
      <c r="N39" s="252"/>
      <c r="O39" s="252"/>
      <c r="P39" s="253"/>
      <c r="Q39" s="89"/>
      <c r="R39" s="165"/>
      <c r="S39" s="76"/>
      <c r="T39" s="76"/>
      <c r="U39" s="76"/>
      <c r="V39" s="76"/>
      <c r="W39" s="76"/>
      <c r="X39" s="76"/>
      <c r="Y39" s="76"/>
      <c r="Z39" s="76"/>
      <c r="AA39" s="68"/>
      <c r="AB39" s="166"/>
      <c r="AC39" s="6"/>
      <c r="AD39" s="95"/>
      <c r="AE39" s="99"/>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row>
    <row r="40" spans="1:252" s="96" customFormat="1" ht="20.25" customHeight="1">
      <c r="A40" s="32" t="str">
        <f t="shared" si="0"/>
        <v>Montag</v>
      </c>
      <c r="B40" s="37">
        <f t="shared" si="2"/>
        <v>42905</v>
      </c>
      <c r="C40" s="185" t="str">
        <f>IF(OR(A40="Samstag",A40="Sonntag"),"",IF(COUNTIF(Übersicht!C$16:C$30,B40)&gt;0,"BA",""))</f>
        <v/>
      </c>
      <c r="D40" s="38"/>
      <c r="E40" s="172">
        <f t="shared" si="4"/>
        <v>2</v>
      </c>
      <c r="F40" s="176"/>
      <c r="G40" s="177"/>
      <c r="H40" s="178"/>
      <c r="I40" s="38">
        <f t="shared" si="1"/>
        <v>0</v>
      </c>
      <c r="J40" s="35">
        <f t="shared" si="3"/>
        <v>-2</v>
      </c>
      <c r="K40" s="36">
        <f t="shared" si="5"/>
        <v>12.749999999999998</v>
      </c>
      <c r="L40" s="251"/>
      <c r="M40" s="252"/>
      <c r="N40" s="252"/>
      <c r="O40" s="252"/>
      <c r="P40" s="253"/>
      <c r="Q40" s="89"/>
      <c r="R40" s="165"/>
      <c r="S40" s="76"/>
      <c r="T40" s="76"/>
      <c r="U40" s="76"/>
      <c r="V40" s="76"/>
      <c r="W40" s="76"/>
      <c r="X40" s="76"/>
      <c r="Y40" s="76"/>
      <c r="Z40" s="76"/>
      <c r="AA40" s="68"/>
      <c r="AB40" s="166"/>
      <c r="AC40" s="6"/>
      <c r="AD40" s="95"/>
      <c r="AE40" s="99"/>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row>
    <row r="41" spans="1:252" s="96" customFormat="1" ht="20.25" customHeight="1">
      <c r="A41" s="32" t="str">
        <f t="shared" si="0"/>
        <v>Dienstag</v>
      </c>
      <c r="B41" s="37">
        <f t="shared" si="2"/>
        <v>42906</v>
      </c>
      <c r="C41" s="185" t="str">
        <f>IF(OR(A41="Samstag",A41="Sonntag"),"",IF(COUNTIF(Übersicht!C$16:C$30,B41)&gt;0,"BA",""))</f>
        <v/>
      </c>
      <c r="D41" s="38"/>
      <c r="E41" s="172">
        <f t="shared" si="4"/>
        <v>2</v>
      </c>
      <c r="F41" s="176"/>
      <c r="G41" s="177"/>
      <c r="H41" s="178"/>
      <c r="I41" s="38">
        <f t="shared" si="1"/>
        <v>0</v>
      </c>
      <c r="J41" s="35">
        <f t="shared" si="3"/>
        <v>-2</v>
      </c>
      <c r="K41" s="36">
        <f t="shared" si="5"/>
        <v>10.749999999999998</v>
      </c>
      <c r="L41" s="251"/>
      <c r="M41" s="252"/>
      <c r="N41" s="252"/>
      <c r="O41" s="252"/>
      <c r="P41" s="253"/>
      <c r="Q41" s="89"/>
      <c r="R41" s="165"/>
      <c r="S41" s="76"/>
      <c r="T41" s="76"/>
      <c r="U41" s="76"/>
      <c r="V41" s="76"/>
      <c r="W41" s="76"/>
      <c r="X41" s="76"/>
      <c r="Y41" s="76"/>
      <c r="Z41" s="76"/>
      <c r="AA41" s="68"/>
      <c r="AB41" s="166"/>
      <c r="AC41" s="6"/>
      <c r="AD41" s="95"/>
      <c r="AE41" s="99"/>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row>
    <row r="42" spans="1:252" s="96" customFormat="1" ht="20.25" customHeight="1">
      <c r="A42" s="32" t="str">
        <f t="shared" si="0"/>
        <v>Mittwoch</v>
      </c>
      <c r="B42" s="37">
        <f t="shared" si="2"/>
        <v>42907</v>
      </c>
      <c r="C42" s="185" t="str">
        <f>IF(OR(A42="Samstag",A42="Sonntag"),"",IF(COUNTIF(Übersicht!C$16:C$30,B42)&gt;0,"BA",""))</f>
        <v/>
      </c>
      <c r="D42" s="38"/>
      <c r="E42" s="172">
        <f t="shared" si="4"/>
        <v>2</v>
      </c>
      <c r="F42" s="176">
        <v>0.35416666666666669</v>
      </c>
      <c r="G42" s="177"/>
      <c r="H42" s="178">
        <v>0.60416666666666663</v>
      </c>
      <c r="I42" s="38">
        <f t="shared" si="1"/>
        <v>5.9999999999999982</v>
      </c>
      <c r="J42" s="35">
        <f t="shared" si="3"/>
        <v>3.9999999999999982</v>
      </c>
      <c r="K42" s="36">
        <f t="shared" si="5"/>
        <v>14.749999999999996</v>
      </c>
      <c r="L42" s="251"/>
      <c r="M42" s="252"/>
      <c r="N42" s="252"/>
      <c r="O42" s="252"/>
      <c r="P42" s="253"/>
      <c r="Q42" s="89"/>
      <c r="R42" s="165"/>
      <c r="S42" s="76"/>
      <c r="T42" s="76"/>
      <c r="U42" s="76"/>
      <c r="V42" s="76"/>
      <c r="W42" s="76"/>
      <c r="X42" s="76"/>
      <c r="Y42" s="76"/>
      <c r="Z42" s="76"/>
      <c r="AA42" s="68"/>
      <c r="AB42" s="166"/>
      <c r="AC42" s="6"/>
      <c r="AD42" s="95"/>
      <c r="AE42" s="99"/>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row>
    <row r="43" spans="1:252" s="96" customFormat="1" ht="20.25" customHeight="1">
      <c r="A43" s="32" t="str">
        <f t="shared" si="0"/>
        <v>Donnerstag</v>
      </c>
      <c r="B43" s="37">
        <f t="shared" si="2"/>
        <v>42908</v>
      </c>
      <c r="C43" s="185" t="str">
        <f>IF(OR(A43="Samstag",A43="Sonntag"),"",IF(COUNTIF(Übersicht!C$16:C$30,B43)&gt;0,"BA",""))</f>
        <v/>
      </c>
      <c r="D43" s="38"/>
      <c r="E43" s="172">
        <f t="shared" si="4"/>
        <v>2</v>
      </c>
      <c r="F43" s="176"/>
      <c r="G43" s="177"/>
      <c r="H43" s="178"/>
      <c r="I43" s="38">
        <f t="shared" si="1"/>
        <v>0</v>
      </c>
      <c r="J43" s="35">
        <f t="shared" si="3"/>
        <v>-2</v>
      </c>
      <c r="K43" s="36">
        <f t="shared" si="5"/>
        <v>12.749999999999996</v>
      </c>
      <c r="L43" s="251"/>
      <c r="M43" s="252"/>
      <c r="N43" s="252"/>
      <c r="O43" s="252"/>
      <c r="P43" s="253"/>
      <c r="Q43" s="89"/>
      <c r="R43" s="165"/>
      <c r="S43" s="76"/>
      <c r="T43" s="76"/>
      <c r="U43" s="76"/>
      <c r="V43" s="76"/>
      <c r="W43" s="76"/>
      <c r="X43" s="76"/>
      <c r="Y43" s="76"/>
      <c r="Z43" s="76"/>
      <c r="AA43" s="68"/>
      <c r="AB43" s="166"/>
      <c r="AC43" s="6"/>
      <c r="AD43" s="95"/>
      <c r="AE43" s="99"/>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row>
    <row r="44" spans="1:252" s="96" customFormat="1" ht="20.25" customHeight="1">
      <c r="A44" s="32" t="str">
        <f t="shared" si="0"/>
        <v>Freitag</v>
      </c>
      <c r="B44" s="37">
        <f t="shared" si="2"/>
        <v>42909</v>
      </c>
      <c r="C44" s="185" t="str">
        <f>IF(OR(A44="Samstag",A44="Sonntag"),"",IF(COUNTIF(Übersicht!C$16:C$30,B44)&gt;0,"BA",""))</f>
        <v/>
      </c>
      <c r="D44" s="38"/>
      <c r="E44" s="172">
        <f t="shared" si="4"/>
        <v>2</v>
      </c>
      <c r="F44" s="176"/>
      <c r="G44" s="177"/>
      <c r="H44" s="178"/>
      <c r="I44" s="38">
        <f t="shared" si="1"/>
        <v>0</v>
      </c>
      <c r="J44" s="35">
        <f t="shared" si="3"/>
        <v>-2</v>
      </c>
      <c r="K44" s="36">
        <f t="shared" si="5"/>
        <v>10.749999999999996</v>
      </c>
      <c r="L44" s="251"/>
      <c r="M44" s="252"/>
      <c r="N44" s="252"/>
      <c r="O44" s="252"/>
      <c r="P44" s="253"/>
      <c r="Q44" s="89"/>
      <c r="R44" s="165"/>
      <c r="S44" s="76"/>
      <c r="T44" s="76"/>
      <c r="U44" s="76"/>
      <c r="V44" s="76"/>
      <c r="W44" s="76"/>
      <c r="X44" s="76"/>
      <c r="Y44" s="76"/>
      <c r="Z44" s="76"/>
      <c r="AA44" s="68"/>
      <c r="AB44" s="166"/>
      <c r="AC44" s="6"/>
      <c r="AD44" s="95"/>
      <c r="AE44" s="99"/>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row>
    <row r="45" spans="1:252" s="96" customFormat="1" ht="20.25" customHeight="1">
      <c r="A45" s="32" t="str">
        <f t="shared" si="0"/>
        <v>Samstag</v>
      </c>
      <c r="B45" s="37">
        <f t="shared" si="2"/>
        <v>42910</v>
      </c>
      <c r="C45" s="185" t="str">
        <f>IF(OR(A45="Samstag",A45="Sonntag"),"",IF(COUNTIF(Übersicht!C$16:C$30,B45)&gt;0,"BA",""))</f>
        <v/>
      </c>
      <c r="D45" s="38"/>
      <c r="E45" s="172" t="str">
        <f t="shared" si="4"/>
        <v/>
      </c>
      <c r="F45" s="176"/>
      <c r="G45" s="177"/>
      <c r="H45" s="178"/>
      <c r="I45" s="38">
        <f t="shared" si="1"/>
        <v>0</v>
      </c>
      <c r="J45" s="35">
        <f t="shared" si="3"/>
        <v>0</v>
      </c>
      <c r="K45" s="36">
        <f t="shared" si="5"/>
        <v>10.749999999999996</v>
      </c>
      <c r="L45" s="251"/>
      <c r="M45" s="252"/>
      <c r="N45" s="252"/>
      <c r="O45" s="252"/>
      <c r="P45" s="253"/>
      <c r="Q45" s="89"/>
      <c r="R45" s="165"/>
      <c r="S45" s="76"/>
      <c r="T45" s="76"/>
      <c r="U45" s="76"/>
      <c r="V45" s="76"/>
      <c r="W45" s="76"/>
      <c r="X45" s="76"/>
      <c r="Y45" s="76"/>
      <c r="Z45" s="76"/>
      <c r="AA45" s="68"/>
      <c r="AB45" s="166"/>
      <c r="AC45" s="6"/>
      <c r="AD45" s="95"/>
      <c r="AE45" s="99"/>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row>
    <row r="46" spans="1:252" s="96" customFormat="1" ht="20.25" customHeight="1">
      <c r="A46" s="32" t="str">
        <f t="shared" si="0"/>
        <v>Sonntag</v>
      </c>
      <c r="B46" s="37">
        <f t="shared" si="2"/>
        <v>42911</v>
      </c>
      <c r="C46" s="185" t="str">
        <f>IF(OR(A46="Samstag",A46="Sonntag"),"",IF(COUNTIF(Übersicht!C$16:C$30,B46)&gt;0,"BA",""))</f>
        <v/>
      </c>
      <c r="D46" s="38"/>
      <c r="E46" s="172" t="str">
        <f t="shared" si="4"/>
        <v/>
      </c>
      <c r="F46" s="176"/>
      <c r="G46" s="177"/>
      <c r="H46" s="178"/>
      <c r="I46" s="38">
        <f t="shared" si="1"/>
        <v>0</v>
      </c>
      <c r="J46" s="35">
        <f t="shared" si="3"/>
        <v>0</v>
      </c>
      <c r="K46" s="36">
        <f t="shared" si="5"/>
        <v>10.749999999999996</v>
      </c>
      <c r="L46" s="251"/>
      <c r="M46" s="252"/>
      <c r="N46" s="252"/>
      <c r="O46" s="252"/>
      <c r="P46" s="253"/>
      <c r="Q46" s="89"/>
      <c r="R46" s="165"/>
      <c r="S46" s="76"/>
      <c r="T46" s="76"/>
      <c r="U46" s="76"/>
      <c r="V46" s="76"/>
      <c r="W46" s="76"/>
      <c r="X46" s="76"/>
      <c r="Y46" s="76"/>
      <c r="Z46" s="76"/>
      <c r="AA46" s="68"/>
      <c r="AB46" s="166"/>
      <c r="AC46" s="6"/>
      <c r="AD46" s="95"/>
      <c r="AE46" s="99"/>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row>
    <row r="47" spans="1:252" s="96" customFormat="1" ht="20.25" customHeight="1">
      <c r="A47" s="32" t="str">
        <f t="shared" si="0"/>
        <v>Montag</v>
      </c>
      <c r="B47" s="37">
        <f t="shared" si="2"/>
        <v>42912</v>
      </c>
      <c r="C47" s="185" t="str">
        <f>IF(OR(A47="Samstag",A47="Sonntag"),"",IF(COUNTIF(Übersicht!C$16:C$30,B47)&gt;0,"BA",""))</f>
        <v/>
      </c>
      <c r="D47" s="38"/>
      <c r="E47" s="172">
        <f t="shared" si="4"/>
        <v>2</v>
      </c>
      <c r="F47" s="176"/>
      <c r="G47" s="177"/>
      <c r="H47" s="178"/>
      <c r="I47" s="38">
        <f t="shared" si="1"/>
        <v>0</v>
      </c>
      <c r="J47" s="35">
        <f t="shared" si="3"/>
        <v>-2</v>
      </c>
      <c r="K47" s="36">
        <f t="shared" si="5"/>
        <v>8.7499999999999964</v>
      </c>
      <c r="L47" s="251"/>
      <c r="M47" s="252"/>
      <c r="N47" s="252"/>
      <c r="O47" s="252"/>
      <c r="P47" s="253"/>
      <c r="Q47" s="89"/>
      <c r="R47" s="165"/>
      <c r="S47" s="76"/>
      <c r="T47" s="76"/>
      <c r="U47" s="76"/>
      <c r="V47" s="76"/>
      <c r="W47" s="76"/>
      <c r="X47" s="76"/>
      <c r="Y47" s="76"/>
      <c r="Z47" s="76"/>
      <c r="AA47" s="68"/>
      <c r="AB47" s="166"/>
      <c r="AC47" s="6"/>
      <c r="AD47" s="95"/>
      <c r="AE47" s="99"/>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row>
    <row r="48" spans="1:252" s="96" customFormat="1" ht="20.25" customHeight="1">
      <c r="A48" s="32" t="str">
        <f t="shared" si="0"/>
        <v>Dienstag</v>
      </c>
      <c r="B48" s="37">
        <f t="shared" si="2"/>
        <v>42913</v>
      </c>
      <c r="C48" s="185" t="str">
        <f>IF(OR(A48="Samstag",A48="Sonntag"),"",IF(COUNTIF(Übersicht!C$16:C$30,B48)&gt;0,"BA",""))</f>
        <v/>
      </c>
      <c r="D48" s="38"/>
      <c r="E48" s="172">
        <f t="shared" si="4"/>
        <v>2</v>
      </c>
      <c r="F48" s="176"/>
      <c r="G48" s="177"/>
      <c r="H48" s="178"/>
      <c r="I48" s="38">
        <f t="shared" si="1"/>
        <v>0</v>
      </c>
      <c r="J48" s="35">
        <f t="shared" si="3"/>
        <v>-2</v>
      </c>
      <c r="K48" s="36">
        <f t="shared" si="5"/>
        <v>6.7499999999999964</v>
      </c>
      <c r="L48" s="251"/>
      <c r="M48" s="252"/>
      <c r="N48" s="252"/>
      <c r="O48" s="252"/>
      <c r="P48" s="253"/>
      <c r="Q48" s="89"/>
      <c r="R48" s="165"/>
      <c r="S48" s="76"/>
      <c r="T48" s="76"/>
      <c r="U48" s="76"/>
      <c r="V48" s="76"/>
      <c r="W48" s="76"/>
      <c r="X48" s="76"/>
      <c r="Y48" s="76"/>
      <c r="Z48" s="76"/>
      <c r="AA48" s="68"/>
      <c r="AB48" s="166"/>
      <c r="AC48" s="6"/>
      <c r="AD48" s="95"/>
      <c r="AE48" s="99"/>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row>
    <row r="49" spans="1:252" s="96" customFormat="1" ht="20.25" customHeight="1">
      <c r="A49" s="32" t="str">
        <f t="shared" si="0"/>
        <v>Mittwoch</v>
      </c>
      <c r="B49" s="37">
        <f t="shared" si="2"/>
        <v>42914</v>
      </c>
      <c r="C49" s="185" t="str">
        <f>IF(OR(A49="Samstag",A49="Sonntag"),"",IF(COUNTIF(Übersicht!C$16:C$30,B49)&gt;0,"BA",""))</f>
        <v/>
      </c>
      <c r="D49" s="38"/>
      <c r="E49" s="172">
        <f t="shared" si="4"/>
        <v>2</v>
      </c>
      <c r="F49" s="176"/>
      <c r="G49" s="177"/>
      <c r="H49" s="178"/>
      <c r="I49" s="38">
        <f t="shared" si="1"/>
        <v>0</v>
      </c>
      <c r="J49" s="35">
        <f t="shared" si="3"/>
        <v>-2</v>
      </c>
      <c r="K49" s="36">
        <f t="shared" si="5"/>
        <v>4.7499999999999964</v>
      </c>
      <c r="L49" s="251"/>
      <c r="M49" s="252"/>
      <c r="N49" s="252"/>
      <c r="O49" s="252"/>
      <c r="P49" s="253"/>
      <c r="Q49" s="89"/>
      <c r="R49" s="165"/>
      <c r="S49" s="76"/>
      <c r="T49" s="76"/>
      <c r="U49" s="76"/>
      <c r="V49" s="76"/>
      <c r="W49" s="76"/>
      <c r="X49" s="76"/>
      <c r="Y49" s="76"/>
      <c r="Z49" s="76"/>
      <c r="AA49" s="68"/>
      <c r="AB49" s="166"/>
      <c r="AC49" s="6"/>
      <c r="AD49" s="95"/>
      <c r="AE49" s="99"/>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row>
    <row r="50" spans="1:252" s="96" customFormat="1" ht="20.25" customHeight="1">
      <c r="A50" s="32" t="str">
        <f t="shared" si="0"/>
        <v>Donnerstag</v>
      </c>
      <c r="B50" s="37">
        <f t="shared" si="2"/>
        <v>42915</v>
      </c>
      <c r="C50" s="185" t="str">
        <f>IF(OR(A50="Samstag",A50="Sonntag"),"",IF(COUNTIF(Übersicht!C$16:C$30,B50)&gt;0,"BA",""))</f>
        <v/>
      </c>
      <c r="D50" s="38"/>
      <c r="E50" s="172">
        <f t="shared" si="4"/>
        <v>2</v>
      </c>
      <c r="F50" s="176"/>
      <c r="G50" s="177"/>
      <c r="H50" s="178"/>
      <c r="I50" s="38">
        <f t="shared" si="1"/>
        <v>0</v>
      </c>
      <c r="J50" s="35">
        <f t="shared" si="3"/>
        <v>-2</v>
      </c>
      <c r="K50" s="36">
        <f t="shared" si="5"/>
        <v>2.7499999999999964</v>
      </c>
      <c r="L50" s="251"/>
      <c r="M50" s="252"/>
      <c r="N50" s="252"/>
      <c r="O50" s="252"/>
      <c r="P50" s="253"/>
      <c r="Q50" s="89"/>
      <c r="R50" s="165"/>
      <c r="S50" s="76"/>
      <c r="T50" s="76"/>
      <c r="U50" s="76"/>
      <c r="V50" s="76"/>
      <c r="W50" s="76"/>
      <c r="X50" s="76"/>
      <c r="Y50" s="76"/>
      <c r="Z50" s="76"/>
      <c r="AA50" s="68"/>
      <c r="AB50" s="166"/>
      <c r="AC50" s="6"/>
      <c r="AD50" s="95"/>
      <c r="AE50" s="99"/>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row>
    <row r="51" spans="1:252" s="96" customFormat="1" ht="20.25" customHeight="1">
      <c r="A51" s="32" t="str">
        <f t="shared" si="0"/>
        <v>Freitag</v>
      </c>
      <c r="B51" s="37">
        <f t="shared" si="2"/>
        <v>42916</v>
      </c>
      <c r="C51" s="185" t="str">
        <f>IF(OR(A51="Samstag",A51="Sonntag"),"",IF(COUNTIF(Übersicht!C$16:C$30,B51)&gt;0,"BA",""))</f>
        <v/>
      </c>
      <c r="D51" s="38"/>
      <c r="E51" s="172">
        <f t="shared" si="4"/>
        <v>2</v>
      </c>
      <c r="F51" s="176"/>
      <c r="G51" s="177"/>
      <c r="H51" s="178"/>
      <c r="I51" s="38">
        <f t="shared" si="1"/>
        <v>0</v>
      </c>
      <c r="J51" s="35">
        <f t="shared" si="3"/>
        <v>-2</v>
      </c>
      <c r="K51" s="36">
        <f t="shared" si="5"/>
        <v>0.74999999999999645</v>
      </c>
      <c r="L51" s="251"/>
      <c r="M51" s="252"/>
      <c r="N51" s="252"/>
      <c r="O51" s="252"/>
      <c r="P51" s="253"/>
      <c r="Q51" s="89"/>
      <c r="R51" s="165"/>
      <c r="S51" s="76"/>
      <c r="T51" s="76"/>
      <c r="U51" s="76"/>
      <c r="V51" s="76"/>
      <c r="W51" s="76"/>
      <c r="X51" s="76"/>
      <c r="Y51" s="76"/>
      <c r="Z51" s="76"/>
      <c r="AA51" s="68"/>
      <c r="AB51" s="166"/>
      <c r="AC51" s="6"/>
      <c r="AD51" s="95"/>
      <c r="AE51" s="99"/>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row>
    <row r="52" spans="1:252" s="96" customFormat="1" ht="20.25" customHeight="1" thickBot="1">
      <c r="A52" s="32" t="str">
        <f t="shared" si="0"/>
        <v>Samstag</v>
      </c>
      <c r="B52" s="37">
        <f t="shared" si="2"/>
        <v>0</v>
      </c>
      <c r="C52" s="185" t="str">
        <f>IF(OR(A52="Samstag",A52="Sonntag"),"",IF(COUNTIF(Übersicht!C$16:C$30,B52)&gt;0,"BA",""))</f>
        <v/>
      </c>
      <c r="D52" s="39"/>
      <c r="E52" s="172" t="str">
        <f t="shared" si="4"/>
        <v/>
      </c>
      <c r="F52" s="198"/>
      <c r="G52" s="199"/>
      <c r="H52" s="200"/>
      <c r="I52" s="38">
        <f t="shared" si="1"/>
        <v>0</v>
      </c>
      <c r="J52" s="35">
        <f t="shared" si="3"/>
        <v>0</v>
      </c>
      <c r="K52" s="40">
        <f t="shared" si="5"/>
        <v>0.74999999999999645</v>
      </c>
      <c r="L52" s="282"/>
      <c r="M52" s="283"/>
      <c r="N52" s="283"/>
      <c r="O52" s="283"/>
      <c r="P52" s="284"/>
      <c r="Q52" s="89"/>
      <c r="R52" s="165"/>
      <c r="S52" s="77"/>
      <c r="T52" s="77"/>
      <c r="U52" s="77"/>
      <c r="V52" s="77"/>
      <c r="W52" s="77"/>
      <c r="X52" s="77"/>
      <c r="Y52" s="77"/>
      <c r="Z52" s="78"/>
      <c r="AA52" s="68"/>
      <c r="AB52" s="166"/>
      <c r="AC52" s="6"/>
      <c r="AD52" s="95"/>
      <c r="AE52" s="99"/>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row>
    <row r="53" spans="1:252" s="96" customFormat="1" ht="18.75" customHeight="1">
      <c r="A53" s="6"/>
      <c r="B53" s="41" t="s">
        <v>26</v>
      </c>
      <c r="C53" s="42"/>
      <c r="D53" s="43"/>
      <c r="E53" s="43" t="s">
        <v>11</v>
      </c>
      <c r="F53" s="44"/>
      <c r="G53" s="44"/>
      <c r="H53" s="44"/>
      <c r="I53" s="43" t="s">
        <v>20</v>
      </c>
      <c r="J53" s="43" t="s">
        <v>28</v>
      </c>
      <c r="K53" s="43" t="s">
        <v>27</v>
      </c>
      <c r="L53" s="45"/>
      <c r="M53" s="45"/>
      <c r="N53" s="45"/>
      <c r="O53" s="45"/>
      <c r="P53" s="46"/>
      <c r="Q53" s="160"/>
      <c r="R53" s="160"/>
      <c r="S53" s="76"/>
      <c r="T53" s="183"/>
      <c r="U53" s="79"/>
      <c r="V53" s="6"/>
      <c r="W53" s="78"/>
      <c r="X53" s="76"/>
      <c r="Y53" s="80"/>
      <c r="Z53" s="80"/>
      <c r="AA53" s="68"/>
      <c r="AB53" s="68"/>
      <c r="AC53" s="6"/>
      <c r="AD53" s="95"/>
      <c r="AE53" s="99"/>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row>
    <row r="54" spans="1:252" s="96" customFormat="1" ht="18.75" customHeight="1">
      <c r="A54" s="6"/>
      <c r="B54" s="47"/>
      <c r="C54" s="48"/>
      <c r="D54" s="49"/>
      <c r="E54" s="50">
        <f>SUM(E22:E52)</f>
        <v>40</v>
      </c>
      <c r="F54" s="51"/>
      <c r="G54" s="52"/>
      <c r="H54" s="49"/>
      <c r="I54" s="50">
        <f>SUM(I22:I52)</f>
        <v>25</v>
      </c>
      <c r="J54" s="50">
        <f>SUM(J22:J52)</f>
        <v>-15.000000000000004</v>
      </c>
      <c r="K54" s="50">
        <f>K52</f>
        <v>0.74999999999999645</v>
      </c>
      <c r="L54" s="91"/>
      <c r="M54" s="91"/>
      <c r="N54" s="91"/>
      <c r="O54" s="91"/>
      <c r="P54" s="53"/>
      <c r="Q54" s="161"/>
      <c r="R54" s="161"/>
      <c r="S54" s="81"/>
      <c r="T54" s="82"/>
      <c r="U54" s="82"/>
      <c r="V54" s="6"/>
      <c r="W54" s="81"/>
      <c r="X54" s="81"/>
      <c r="Y54" s="6"/>
      <c r="Z54" s="6"/>
      <c r="AA54" s="68"/>
      <c r="AB54" s="68"/>
      <c r="AC54" s="6"/>
      <c r="AD54" s="95"/>
      <c r="AE54" s="99"/>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row>
    <row r="55" spans="1:252" s="96" customFormat="1" ht="15">
      <c r="A55" s="6"/>
      <c r="B55" s="54"/>
      <c r="C55" s="54"/>
      <c r="D55" s="54"/>
      <c r="E55" s="54"/>
      <c r="F55" s="55"/>
      <c r="G55" s="56"/>
      <c r="H55" s="100"/>
      <c r="I55" s="6"/>
      <c r="J55" s="101"/>
      <c r="K55" s="257" t="str">
        <f>IF($E$54*1.5&lt;IF($M$7&lt;0,$I$54+$M$7,$I$54),"Überschreitung der zulässigen Monatsarbeitszeit um &gt;50%","")</f>
        <v/>
      </c>
      <c r="L55" s="257"/>
      <c r="M55" s="257"/>
      <c r="N55" s="257"/>
      <c r="O55" s="257"/>
      <c r="P55" s="60"/>
      <c r="Q55" s="162"/>
      <c r="R55" s="162"/>
      <c r="S55" s="83"/>
      <c r="T55" s="83"/>
      <c r="U55" s="83"/>
      <c r="V55" s="6"/>
      <c r="W55" s="6"/>
      <c r="X55" s="76"/>
      <c r="Y55" s="6"/>
      <c r="Z55" s="6"/>
      <c r="AA55" s="68"/>
      <c r="AB55" s="68"/>
      <c r="AC55" s="6"/>
      <c r="AD55" s="95"/>
      <c r="AE55" s="99"/>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row>
    <row r="56" spans="1:252" s="96" customFormat="1" ht="15">
      <c r="A56" s="6"/>
      <c r="B56" s="54"/>
      <c r="C56" s="54"/>
      <c r="D56" s="54"/>
      <c r="E56" s="54"/>
      <c r="F56" s="55"/>
      <c r="G56" s="56"/>
      <c r="H56" s="102"/>
      <c r="I56" s="101"/>
      <c r="J56" s="101"/>
      <c r="K56" s="58"/>
      <c r="L56" s="59"/>
      <c r="M56" s="59"/>
      <c r="N56" s="59"/>
      <c r="O56" s="59"/>
      <c r="P56" s="60"/>
      <c r="Q56" s="162"/>
      <c r="R56" s="162"/>
      <c r="S56" s="83"/>
      <c r="T56" s="83"/>
      <c r="U56" s="83"/>
      <c r="V56" s="6"/>
      <c r="W56" s="6"/>
      <c r="X56" s="81"/>
      <c r="Y56" s="6"/>
      <c r="Z56" s="6"/>
      <c r="AA56" s="68"/>
      <c r="AB56" s="68"/>
      <c r="AC56" s="6"/>
      <c r="AD56" s="95"/>
      <c r="AE56" s="99"/>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row>
    <row r="57" spans="1:252" s="96" customFormat="1" ht="15">
      <c r="A57" s="6"/>
      <c r="B57" s="61"/>
      <c r="C57" s="61"/>
      <c r="D57" s="61"/>
      <c r="E57" s="61"/>
      <c r="F57" s="61"/>
      <c r="G57" s="61"/>
      <c r="H57" s="62"/>
      <c r="I57" s="6"/>
      <c r="J57" s="6"/>
      <c r="K57" s="6" t="s">
        <v>75</v>
      </c>
      <c r="L57" s="6"/>
      <c r="M57" s="6"/>
      <c r="N57" s="6"/>
      <c r="O57" s="57"/>
      <c r="P57" s="24"/>
      <c r="Q57" s="156"/>
      <c r="R57" s="156"/>
      <c r="S57" s="6"/>
      <c r="T57" s="6"/>
      <c r="U57" s="6"/>
      <c r="V57" s="6"/>
      <c r="W57" s="6"/>
      <c r="X57" s="6"/>
      <c r="Y57" s="6"/>
      <c r="Z57" s="6"/>
      <c r="AA57" s="68"/>
      <c r="AB57" s="68"/>
      <c r="AC57" s="6"/>
      <c r="AD57" s="95"/>
      <c r="AE57" s="99"/>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row>
    <row r="58" spans="1:252" s="96" customFormat="1" ht="15">
      <c r="A58" s="6"/>
      <c r="B58" s="62"/>
      <c r="C58" s="62"/>
      <c r="D58" s="62"/>
      <c r="E58" s="62"/>
      <c r="F58" s="62"/>
      <c r="G58" s="62"/>
      <c r="H58" s="32"/>
      <c r="I58" s="103"/>
      <c r="J58" s="68"/>
      <c r="K58" s="6" t="s">
        <v>76</v>
      </c>
      <c r="L58" s="206"/>
      <c r="M58" s="207"/>
      <c r="N58" s="207"/>
      <c r="O58" s="201"/>
      <c r="P58" s="63"/>
      <c r="Q58" s="163"/>
      <c r="R58" s="163"/>
      <c r="S58" s="84"/>
      <c r="T58" s="84"/>
      <c r="U58" s="84"/>
      <c r="V58" s="6"/>
      <c r="W58" s="6"/>
      <c r="X58" s="6"/>
      <c r="Y58" s="6"/>
      <c r="Z58" s="6"/>
      <c r="AA58" s="68"/>
      <c r="AB58" s="68"/>
      <c r="AC58" s="6"/>
      <c r="AD58" s="95"/>
      <c r="AE58" s="99"/>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row>
    <row r="59" spans="1:252" s="96" customFormat="1" ht="15">
      <c r="A59" s="6"/>
      <c r="B59" s="64"/>
      <c r="C59" s="64"/>
      <c r="D59" s="64"/>
      <c r="E59" s="64"/>
      <c r="F59" s="64"/>
      <c r="G59" s="62"/>
      <c r="H59" s="208"/>
      <c r="I59" s="208"/>
      <c r="J59" s="208"/>
      <c r="K59" s="65"/>
      <c r="L59" s="65"/>
      <c r="M59" s="65"/>
      <c r="N59" s="65"/>
      <c r="O59" s="65"/>
      <c r="P59" s="66"/>
      <c r="Q59" s="156"/>
      <c r="R59" s="156"/>
      <c r="S59" s="6"/>
      <c r="T59" s="6"/>
      <c r="U59" s="6"/>
      <c r="V59" s="6"/>
      <c r="W59" s="6"/>
      <c r="X59" s="6"/>
      <c r="Y59" s="6"/>
      <c r="Z59" s="6"/>
      <c r="AA59" s="68"/>
      <c r="AB59" s="68"/>
      <c r="AC59" s="6"/>
      <c r="AD59" s="95"/>
      <c r="AE59" s="99"/>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row>
    <row r="60" spans="1:252" s="96" customFormat="1" ht="15">
      <c r="A60" s="6"/>
      <c r="B60" s="67" t="s">
        <v>4</v>
      </c>
      <c r="C60" s="280" t="s">
        <v>5</v>
      </c>
      <c r="D60" s="280"/>
      <c r="E60" s="280"/>
      <c r="F60" s="280"/>
      <c r="G60" s="281"/>
      <c r="H60" s="32"/>
      <c r="I60" s="104"/>
      <c r="J60" s="6"/>
      <c r="K60" s="67" t="s">
        <v>4</v>
      </c>
      <c r="L60" s="281" t="s">
        <v>66</v>
      </c>
      <c r="M60" s="281"/>
      <c r="N60" s="281"/>
      <c r="O60" s="281"/>
      <c r="P60" s="281"/>
      <c r="Q60" s="24"/>
      <c r="R60" s="6"/>
      <c r="S60" s="6"/>
      <c r="T60" s="6"/>
      <c r="U60" s="6"/>
      <c r="V60" s="6"/>
      <c r="W60" s="6"/>
      <c r="X60" s="6"/>
      <c r="Y60" s="6"/>
      <c r="Z60" s="6"/>
      <c r="AA60" s="68"/>
      <c r="AB60" s="68"/>
      <c r="AC60" s="6"/>
      <c r="AD60" s="95"/>
      <c r="AE60" s="99"/>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row>
    <row r="61" spans="1:252" s="96" customFormat="1" ht="15">
      <c r="A61" s="6"/>
      <c r="B61" s="67"/>
      <c r="C61" s="205"/>
      <c r="D61" s="205"/>
      <c r="E61" s="205"/>
      <c r="F61" s="205"/>
      <c r="G61" s="205"/>
      <c r="H61" s="32"/>
      <c r="I61" s="104"/>
      <c r="J61" s="6"/>
      <c r="K61" s="67"/>
      <c r="L61" s="205"/>
      <c r="M61" s="205"/>
      <c r="N61" s="205"/>
      <c r="O61" s="205"/>
      <c r="P61" s="205"/>
      <c r="Q61" s="24"/>
      <c r="R61" s="6"/>
      <c r="S61" s="6"/>
      <c r="T61" s="6"/>
      <c r="U61" s="6"/>
      <c r="V61" s="6"/>
      <c r="W61" s="6"/>
      <c r="X61" s="6"/>
      <c r="Y61" s="6"/>
      <c r="Z61" s="6"/>
      <c r="AA61" s="68"/>
      <c r="AB61" s="68"/>
      <c r="AC61" s="6"/>
      <c r="AD61" s="95"/>
      <c r="AE61" s="99"/>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row>
    <row r="62" spans="1:252" s="96" customFormat="1" ht="15">
      <c r="A62" s="6"/>
      <c r="B62" s="57"/>
      <c r="C62" s="57"/>
      <c r="D62" s="57"/>
      <c r="E62" s="57"/>
      <c r="F62" s="57"/>
      <c r="G62" s="57"/>
      <c r="H62" s="105" t="s">
        <v>46</v>
      </c>
      <c r="I62" s="32"/>
      <c r="J62" s="106">
        <v>42114</v>
      </c>
      <c r="K62" s="57"/>
      <c r="L62" s="57"/>
      <c r="M62" s="57"/>
      <c r="N62" s="57"/>
      <c r="O62" s="57"/>
      <c r="P62" s="24"/>
      <c r="Q62" s="24"/>
      <c r="R62" s="6"/>
      <c r="S62" s="6"/>
      <c r="T62" s="6"/>
      <c r="U62" s="6"/>
      <c r="V62" s="68"/>
      <c r="W62" s="6"/>
      <c r="X62" s="6"/>
      <c r="Y62" s="6"/>
      <c r="Z62" s="6"/>
      <c r="AA62" s="68"/>
      <c r="AB62" s="68"/>
      <c r="AC62" s="6"/>
      <c r="AD62" s="95"/>
      <c r="AE62" s="99"/>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row>
    <row r="63" spans="1:252" s="96" customFormat="1" ht="15" hidden="1">
      <c r="A63" s="6"/>
      <c r="B63" s="57"/>
      <c r="C63" s="57"/>
      <c r="D63" s="57"/>
      <c r="E63" s="57"/>
      <c r="F63" s="57"/>
      <c r="G63" s="57"/>
      <c r="H63" s="57"/>
      <c r="I63" s="57"/>
      <c r="J63" s="57"/>
      <c r="K63" s="57"/>
      <c r="L63" s="57"/>
      <c r="M63" s="57"/>
      <c r="N63" s="57"/>
      <c r="O63" s="57"/>
      <c r="P63" s="24"/>
      <c r="Q63" s="24"/>
      <c r="R63" s="6"/>
      <c r="S63" s="6"/>
      <c r="T63" s="6"/>
      <c r="U63" s="6"/>
      <c r="V63" s="6"/>
      <c r="W63" s="6"/>
      <c r="X63" s="6"/>
      <c r="Y63" s="6"/>
      <c r="Z63" s="6"/>
      <c r="AA63" s="68"/>
      <c r="AB63" s="68"/>
      <c r="AC63" s="6"/>
      <c r="AD63" s="95"/>
      <c r="AE63" s="99"/>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row>
    <row r="64" spans="1:252" s="96" customFormat="1" ht="15" hidden="1">
      <c r="A64" s="6"/>
      <c r="B64" s="57"/>
      <c r="C64" s="57"/>
      <c r="D64" s="57"/>
      <c r="E64" s="57"/>
      <c r="F64" s="57"/>
      <c r="G64" s="57"/>
      <c r="H64" s="57"/>
      <c r="I64" s="57"/>
      <c r="J64" s="57"/>
      <c r="K64" s="57"/>
      <c r="L64" s="57"/>
      <c r="M64" s="57"/>
      <c r="N64" s="57"/>
      <c r="O64" s="57"/>
      <c r="P64" s="24"/>
      <c r="Q64" s="24"/>
      <c r="R64" s="6"/>
      <c r="S64" s="6"/>
      <c r="T64" s="6"/>
      <c r="U64" s="6"/>
      <c r="V64" s="6"/>
      <c r="W64" s="6"/>
      <c r="X64" s="6"/>
      <c r="Y64" s="6"/>
      <c r="Z64" s="6"/>
      <c r="AA64" s="68"/>
      <c r="AB64" s="68"/>
      <c r="AC64" s="6"/>
      <c r="AD64" s="95"/>
      <c r="AE64" s="99"/>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row>
    <row r="65" spans="1:252" s="96" customFormat="1" ht="15" hidden="1">
      <c r="A65" s="6"/>
      <c r="B65" s="57"/>
      <c r="C65" s="57"/>
      <c r="D65" s="57"/>
      <c r="E65" s="57"/>
      <c r="F65" s="57"/>
      <c r="G65" s="57"/>
      <c r="H65" s="57"/>
      <c r="I65" s="57"/>
      <c r="J65" s="57"/>
      <c r="K65" s="57"/>
      <c r="L65" s="57"/>
      <c r="M65" s="57"/>
      <c r="N65" s="57"/>
      <c r="O65" s="57"/>
      <c r="P65" s="24"/>
      <c r="Q65" s="24"/>
      <c r="R65" s="6"/>
      <c r="S65" s="6"/>
      <c r="T65" s="6"/>
      <c r="U65" s="6"/>
      <c r="V65" s="6"/>
      <c r="W65" s="6"/>
      <c r="X65" s="6"/>
      <c r="Y65" s="6"/>
      <c r="Z65" s="6"/>
      <c r="AA65" s="68"/>
      <c r="AB65" s="68"/>
      <c r="AC65" s="6"/>
      <c r="AD65" s="95"/>
      <c r="AE65" s="99"/>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row>
    <row r="66" spans="1:252" s="96" customFormat="1" ht="15" hidden="1">
      <c r="A66" s="6"/>
      <c r="B66" s="57"/>
      <c r="C66" s="57"/>
      <c r="D66" s="57"/>
      <c r="E66" s="57"/>
      <c r="F66" s="57"/>
      <c r="G66" s="57"/>
      <c r="H66" s="57"/>
      <c r="I66" s="57"/>
      <c r="J66" s="57"/>
      <c r="K66" s="57"/>
      <c r="L66" s="57"/>
      <c r="M66" s="57"/>
      <c r="N66" s="57"/>
      <c r="O66" s="57"/>
      <c r="P66" s="24"/>
      <c r="Q66" s="24"/>
      <c r="R66" s="6"/>
      <c r="S66" s="6"/>
      <c r="T66" s="6"/>
      <c r="U66" s="6"/>
      <c r="V66" s="6"/>
      <c r="W66" s="6"/>
      <c r="X66" s="6"/>
      <c r="Y66" s="6"/>
      <c r="Z66" s="6"/>
      <c r="AA66" s="68"/>
      <c r="AB66" s="68"/>
      <c r="AC66" s="6"/>
      <c r="AD66" s="95"/>
      <c r="AE66" s="99"/>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row>
    <row r="67" spans="1:252" s="96" customFormat="1" ht="15" hidden="1">
      <c r="A67" s="6"/>
      <c r="B67" s="57"/>
      <c r="C67" s="57"/>
      <c r="D67" s="57"/>
      <c r="E67" s="57"/>
      <c r="F67" s="57"/>
      <c r="G67" s="57"/>
      <c r="H67" s="57"/>
      <c r="I67" s="57"/>
      <c r="J67" s="57"/>
      <c r="K67" s="57"/>
      <c r="L67" s="57"/>
      <c r="M67" s="57"/>
      <c r="N67" s="57"/>
      <c r="O67" s="57"/>
      <c r="P67" s="24"/>
      <c r="Q67" s="24"/>
      <c r="R67" s="6"/>
      <c r="S67" s="6"/>
      <c r="T67" s="6"/>
      <c r="U67" s="6"/>
      <c r="V67" s="6"/>
      <c r="W67" s="6"/>
      <c r="X67" s="6"/>
      <c r="Y67" s="6"/>
      <c r="Z67" s="6"/>
      <c r="AA67" s="68"/>
      <c r="AB67" s="68"/>
      <c r="AC67" s="6"/>
      <c r="AD67" s="95"/>
      <c r="AE67" s="99"/>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row>
    <row r="68" spans="1:252" s="96" customFormat="1" ht="15" hidden="1">
      <c r="A68" s="6"/>
      <c r="B68" s="57"/>
      <c r="C68" s="57"/>
      <c r="D68" s="57"/>
      <c r="E68" s="57"/>
      <c r="F68" s="57"/>
      <c r="G68" s="57"/>
      <c r="H68" s="57"/>
      <c r="I68" s="57"/>
      <c r="J68" s="57"/>
      <c r="K68" s="57"/>
      <c r="L68" s="57"/>
      <c r="M68" s="57"/>
      <c r="N68" s="57"/>
      <c r="O68" s="57"/>
      <c r="P68" s="24"/>
      <c r="Q68" s="24"/>
      <c r="R68" s="6"/>
      <c r="S68" s="6"/>
      <c r="T68" s="6"/>
      <c r="U68" s="6"/>
      <c r="V68" s="6"/>
      <c r="W68" s="6"/>
      <c r="X68" s="6"/>
      <c r="Y68" s="6"/>
      <c r="Z68" s="6"/>
      <c r="AA68" s="68"/>
      <c r="AB68" s="68"/>
      <c r="AC68" s="6"/>
      <c r="AD68" s="95"/>
      <c r="AE68" s="99"/>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row>
    <row r="69" spans="1:252" s="96" customFormat="1" ht="15" hidden="1">
      <c r="A69" s="6"/>
      <c r="B69" s="57"/>
      <c r="C69" s="57"/>
      <c r="D69" s="57"/>
      <c r="E69" s="57"/>
      <c r="F69" s="57"/>
      <c r="G69" s="57"/>
      <c r="H69" s="57"/>
      <c r="I69" s="57"/>
      <c r="J69" s="57"/>
      <c r="K69" s="57"/>
      <c r="L69" s="57"/>
      <c r="M69" s="57"/>
      <c r="N69" s="57"/>
      <c r="O69" s="57"/>
      <c r="P69" s="24"/>
      <c r="Q69" s="24"/>
      <c r="R69" s="6"/>
      <c r="S69" s="6"/>
      <c r="T69" s="6"/>
      <c r="U69" s="6"/>
      <c r="V69" s="6"/>
      <c r="W69" s="6"/>
      <c r="X69" s="6"/>
      <c r="Y69" s="6"/>
      <c r="Z69" s="6"/>
      <c r="AA69" s="68"/>
      <c r="AB69" s="68"/>
      <c r="AC69" s="6"/>
      <c r="AD69" s="95"/>
      <c r="AE69" s="99"/>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row>
    <row r="70" spans="1:252" s="96" customFormat="1" ht="15" hidden="1">
      <c r="A70" s="6"/>
      <c r="B70" s="57"/>
      <c r="C70" s="57"/>
      <c r="D70" s="57"/>
      <c r="E70" s="57"/>
      <c r="F70" s="57"/>
      <c r="G70" s="57"/>
      <c r="H70" s="57"/>
      <c r="I70" s="57"/>
      <c r="J70" s="57"/>
      <c r="K70" s="57"/>
      <c r="L70" s="57"/>
      <c r="M70" s="57"/>
      <c r="N70" s="57"/>
      <c r="O70" s="57"/>
      <c r="P70" s="24"/>
      <c r="Q70" s="24"/>
      <c r="R70" s="6"/>
      <c r="S70" s="6"/>
      <c r="T70" s="6"/>
      <c r="U70" s="6"/>
      <c r="V70" s="6"/>
      <c r="W70" s="6"/>
      <c r="X70" s="6"/>
      <c r="Y70" s="6"/>
      <c r="Z70" s="6"/>
      <c r="AA70" s="68"/>
      <c r="AB70" s="68"/>
      <c r="AC70" s="6"/>
      <c r="AD70" s="95"/>
      <c r="AE70" s="99"/>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row>
    <row r="71" spans="1:252" s="96" customFormat="1" ht="15" hidden="1">
      <c r="A71" s="6"/>
      <c r="B71" s="57"/>
      <c r="C71" s="57"/>
      <c r="D71" s="57"/>
      <c r="E71" s="57"/>
      <c r="F71" s="57"/>
      <c r="G71" s="57"/>
      <c r="H71" s="57"/>
      <c r="I71" s="57"/>
      <c r="J71" s="57"/>
      <c r="K71" s="57"/>
      <c r="L71" s="57"/>
      <c r="M71" s="57"/>
      <c r="N71" s="57"/>
      <c r="O71" s="57"/>
      <c r="P71" s="24"/>
      <c r="Q71" s="24"/>
      <c r="R71" s="6"/>
      <c r="S71" s="6"/>
      <c r="T71" s="6"/>
      <c r="U71" s="6"/>
      <c r="V71" s="6"/>
      <c r="W71" s="6"/>
      <c r="X71" s="6"/>
      <c r="Y71" s="6"/>
      <c r="Z71" s="6"/>
      <c r="AA71" s="68"/>
      <c r="AB71" s="68"/>
      <c r="AC71" s="6"/>
      <c r="AD71" s="95"/>
      <c r="AE71" s="99"/>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row>
    <row r="72" spans="1:252" s="96" customFormat="1" ht="15" hidden="1">
      <c r="A72" s="6"/>
      <c r="B72" s="57"/>
      <c r="C72" s="57"/>
      <c r="D72" s="57"/>
      <c r="E72" s="57"/>
      <c r="F72" s="57"/>
      <c r="G72" s="57"/>
      <c r="H72" s="57"/>
      <c r="I72" s="57"/>
      <c r="J72" s="57"/>
      <c r="K72" s="57"/>
      <c r="L72" s="57"/>
      <c r="M72" s="57"/>
      <c r="N72" s="57"/>
      <c r="O72" s="57"/>
      <c r="P72" s="24"/>
      <c r="Q72" s="24"/>
      <c r="R72" s="6"/>
      <c r="S72" s="6"/>
      <c r="T72" s="6"/>
      <c r="U72" s="6"/>
      <c r="V72" s="6"/>
      <c r="W72" s="6"/>
      <c r="X72" s="6"/>
      <c r="Y72" s="6"/>
      <c r="Z72" s="6"/>
      <c r="AA72" s="68"/>
      <c r="AB72" s="68"/>
      <c r="AC72" s="6"/>
      <c r="AD72" s="95"/>
      <c r="AE72" s="99"/>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row>
    <row r="73" spans="1:252" s="96" customFormat="1" ht="15" hidden="1">
      <c r="A73" s="6"/>
      <c r="B73" s="57"/>
      <c r="C73" s="57"/>
      <c r="D73" s="57"/>
      <c r="E73" s="57"/>
      <c r="F73" s="57"/>
      <c r="G73" s="57"/>
      <c r="H73" s="57"/>
      <c r="I73" s="57"/>
      <c r="J73" s="57"/>
      <c r="K73" s="57"/>
      <c r="L73" s="57"/>
      <c r="M73" s="57"/>
      <c r="N73" s="57"/>
      <c r="O73" s="57"/>
      <c r="P73" s="24"/>
      <c r="Q73" s="24"/>
      <c r="R73" s="6"/>
      <c r="S73" s="6"/>
      <c r="T73" s="6"/>
      <c r="U73" s="6"/>
      <c r="V73" s="6"/>
      <c r="W73" s="6"/>
      <c r="X73" s="6"/>
      <c r="Y73" s="6"/>
      <c r="Z73" s="6"/>
      <c r="AA73" s="68"/>
      <c r="AB73" s="68"/>
      <c r="AC73" s="6"/>
      <c r="AD73" s="95"/>
      <c r="AE73" s="99"/>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c r="HR73" s="3"/>
      <c r="HS73" s="3"/>
      <c r="HT73" s="3"/>
      <c r="HU73" s="3"/>
      <c r="HV73" s="3"/>
      <c r="HW73" s="3"/>
      <c r="HX73" s="3"/>
      <c r="HY73" s="3"/>
      <c r="HZ73" s="3"/>
      <c r="IA73" s="3"/>
      <c r="IB73" s="3"/>
      <c r="IC73" s="3"/>
      <c r="ID73" s="3"/>
      <c r="IE73" s="3"/>
      <c r="IF73" s="3"/>
      <c r="IG73" s="3"/>
      <c r="IH73" s="3"/>
      <c r="II73" s="3"/>
      <c r="IJ73" s="3"/>
      <c r="IK73" s="3"/>
      <c r="IL73" s="3"/>
      <c r="IM73" s="3"/>
      <c r="IN73" s="3"/>
      <c r="IO73" s="3"/>
      <c r="IP73" s="3"/>
      <c r="IQ73" s="3"/>
      <c r="IR73" s="3"/>
    </row>
    <row r="74" spans="1:252" s="96" customFormat="1" ht="15" hidden="1">
      <c r="A74" s="6"/>
      <c r="B74" s="57"/>
      <c r="C74" s="57"/>
      <c r="D74" s="57"/>
      <c r="E74" s="57"/>
      <c r="F74" s="57"/>
      <c r="G74" s="57"/>
      <c r="H74" s="57"/>
      <c r="I74" s="57"/>
      <c r="J74" s="57"/>
      <c r="K74" s="57"/>
      <c r="L74" s="57"/>
      <c r="M74" s="57"/>
      <c r="N74" s="57"/>
      <c r="O74" s="57"/>
      <c r="P74" s="24"/>
      <c r="Q74" s="24"/>
      <c r="R74" s="6"/>
      <c r="S74" s="6"/>
      <c r="T74" s="6"/>
      <c r="U74" s="6"/>
      <c r="V74" s="6"/>
      <c r="W74" s="6"/>
      <c r="X74" s="6"/>
      <c r="Y74" s="6"/>
      <c r="Z74" s="6"/>
      <c r="AA74" s="68"/>
      <c r="AB74" s="68"/>
      <c r="AC74" s="6"/>
      <c r="AD74" s="95"/>
      <c r="AE74" s="99"/>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row>
    <row r="75" spans="1:252" s="96" customFormat="1" ht="15" hidden="1">
      <c r="A75" s="6"/>
      <c r="B75" s="57"/>
      <c r="C75" s="57"/>
      <c r="D75" s="57"/>
      <c r="E75" s="57"/>
      <c r="F75" s="57"/>
      <c r="G75" s="57"/>
      <c r="H75" s="57"/>
      <c r="I75" s="57"/>
      <c r="J75" s="57"/>
      <c r="K75" s="57"/>
      <c r="L75" s="57"/>
      <c r="M75" s="57"/>
      <c r="N75" s="57"/>
      <c r="O75" s="57"/>
      <c r="P75" s="24"/>
      <c r="Q75" s="24"/>
      <c r="R75" s="6"/>
      <c r="S75" s="6"/>
      <c r="T75" s="6"/>
      <c r="U75" s="6"/>
      <c r="V75" s="6"/>
      <c r="W75" s="6"/>
      <c r="X75" s="6"/>
      <c r="Y75" s="6"/>
      <c r="Z75" s="6"/>
      <c r="AA75" s="68"/>
      <c r="AB75" s="68"/>
      <c r="AC75" s="6"/>
      <c r="AD75" s="95"/>
      <c r="AE75" s="99"/>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row>
    <row r="76" spans="1:252" s="96" customFormat="1" ht="15" hidden="1">
      <c r="A76" s="6"/>
      <c r="B76" s="57"/>
      <c r="C76" s="57"/>
      <c r="D76" s="57"/>
      <c r="E76" s="57"/>
      <c r="F76" s="57"/>
      <c r="G76" s="57"/>
      <c r="H76" s="57"/>
      <c r="I76" s="57"/>
      <c r="J76" s="57"/>
      <c r="K76" s="57"/>
      <c r="L76" s="57"/>
      <c r="M76" s="57"/>
      <c r="N76" s="57"/>
      <c r="O76" s="57"/>
      <c r="P76" s="24"/>
      <c r="Q76" s="24"/>
      <c r="R76" s="6"/>
      <c r="S76" s="6"/>
      <c r="T76" s="6"/>
      <c r="U76" s="6"/>
      <c r="V76" s="6"/>
      <c r="W76" s="6"/>
      <c r="X76" s="6"/>
      <c r="Y76" s="6"/>
      <c r="Z76" s="6"/>
      <c r="AA76" s="68"/>
      <c r="AB76" s="68"/>
      <c r="AC76" s="6"/>
      <c r="AD76" s="95"/>
      <c r="AE76" s="99"/>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row>
    <row r="77" spans="1:252" s="96" customFormat="1" ht="15" hidden="1">
      <c r="A77" s="6"/>
      <c r="B77" s="57"/>
      <c r="C77" s="57"/>
      <c r="D77" s="57"/>
      <c r="E77" s="57"/>
      <c r="F77" s="57"/>
      <c r="G77" s="57"/>
      <c r="H77" s="57"/>
      <c r="I77" s="57"/>
      <c r="J77" s="57"/>
      <c r="K77" s="57"/>
      <c r="L77" s="57"/>
      <c r="M77" s="57"/>
      <c r="N77" s="57"/>
      <c r="O77" s="57"/>
      <c r="P77" s="24"/>
      <c r="Q77" s="24"/>
      <c r="R77" s="6"/>
      <c r="S77" s="6"/>
      <c r="T77" s="6"/>
      <c r="U77" s="6"/>
      <c r="V77" s="6"/>
      <c r="W77" s="6"/>
      <c r="X77" s="6"/>
      <c r="Y77" s="6"/>
      <c r="Z77" s="6"/>
      <c r="AA77" s="68"/>
      <c r="AB77" s="68"/>
      <c r="AC77" s="6"/>
      <c r="AD77" s="95"/>
      <c r="AE77" s="99"/>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c r="HF77" s="3"/>
      <c r="HG77" s="3"/>
      <c r="HH77" s="3"/>
      <c r="HI77" s="3"/>
      <c r="HJ77" s="3"/>
      <c r="HK77" s="3"/>
      <c r="HL77" s="3"/>
      <c r="HM77" s="3"/>
      <c r="HN77" s="3"/>
      <c r="HO77" s="3"/>
      <c r="HP77" s="3"/>
      <c r="HQ77" s="3"/>
      <c r="HR77" s="3"/>
      <c r="HS77" s="3"/>
      <c r="HT77" s="3"/>
      <c r="HU77" s="3"/>
      <c r="HV77" s="3"/>
      <c r="HW77" s="3"/>
      <c r="HX77" s="3"/>
      <c r="HY77" s="3"/>
      <c r="HZ77" s="3"/>
      <c r="IA77" s="3"/>
      <c r="IB77" s="3"/>
      <c r="IC77" s="3"/>
      <c r="ID77" s="3"/>
      <c r="IE77" s="3"/>
      <c r="IF77" s="3"/>
      <c r="IG77" s="3"/>
      <c r="IH77" s="3"/>
      <c r="II77" s="3"/>
      <c r="IJ77" s="3"/>
      <c r="IK77" s="3"/>
      <c r="IL77" s="3"/>
      <c r="IM77" s="3"/>
      <c r="IN77" s="3"/>
      <c r="IO77" s="3"/>
      <c r="IP77" s="3"/>
      <c r="IQ77" s="3"/>
      <c r="IR77" s="3"/>
    </row>
    <row r="78" spans="1:252" s="96" customFormat="1" ht="15" hidden="1">
      <c r="A78" s="6"/>
      <c r="B78" s="57"/>
      <c r="C78" s="57"/>
      <c r="D78" s="57"/>
      <c r="E78" s="57"/>
      <c r="F78" s="57"/>
      <c r="G78" s="57"/>
      <c r="H78" s="57"/>
      <c r="I78" s="57"/>
      <c r="J78" s="57"/>
      <c r="K78" s="57"/>
      <c r="L78" s="57"/>
      <c r="M78" s="57"/>
      <c r="N78" s="57"/>
      <c r="O78" s="57"/>
      <c r="P78" s="24"/>
      <c r="Q78" s="24"/>
      <c r="R78" s="6"/>
      <c r="S78" s="6"/>
      <c r="T78" s="6"/>
      <c r="U78" s="6"/>
      <c r="V78" s="6"/>
      <c r="W78" s="6"/>
      <c r="X78" s="6"/>
      <c r="Y78" s="6"/>
      <c r="Z78" s="6"/>
      <c r="AA78" s="68"/>
      <c r="AB78" s="68"/>
      <c r="AC78" s="6"/>
      <c r="AD78" s="95"/>
      <c r="AE78" s="99"/>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c r="HF78" s="3"/>
      <c r="HG78" s="3"/>
      <c r="HH78" s="3"/>
      <c r="HI78" s="3"/>
      <c r="HJ78" s="3"/>
      <c r="HK78" s="3"/>
      <c r="HL78" s="3"/>
      <c r="HM78" s="3"/>
      <c r="HN78" s="3"/>
      <c r="HO78" s="3"/>
      <c r="HP78" s="3"/>
      <c r="HQ78" s="3"/>
      <c r="HR78" s="3"/>
      <c r="HS78" s="3"/>
      <c r="HT78" s="3"/>
      <c r="HU78" s="3"/>
      <c r="HV78" s="3"/>
      <c r="HW78" s="3"/>
      <c r="HX78" s="3"/>
      <c r="HY78" s="3"/>
      <c r="HZ78" s="3"/>
      <c r="IA78" s="3"/>
      <c r="IB78" s="3"/>
      <c r="IC78" s="3"/>
      <c r="ID78" s="3"/>
      <c r="IE78" s="3"/>
      <c r="IF78" s="3"/>
      <c r="IG78" s="3"/>
      <c r="IH78" s="3"/>
      <c r="II78" s="3"/>
      <c r="IJ78" s="3"/>
      <c r="IK78" s="3"/>
      <c r="IL78" s="3"/>
      <c r="IM78" s="3"/>
      <c r="IN78" s="3"/>
      <c r="IO78" s="3"/>
      <c r="IP78" s="3"/>
      <c r="IQ78" s="3"/>
      <c r="IR78" s="3"/>
    </row>
    <row r="79" spans="1:252" s="96" customFormat="1" ht="15" hidden="1">
      <c r="A79" s="6"/>
      <c r="B79" s="57"/>
      <c r="C79" s="57"/>
      <c r="D79" s="57"/>
      <c r="E79" s="57"/>
      <c r="F79" s="57"/>
      <c r="G79" s="57"/>
      <c r="H79" s="57"/>
      <c r="I79" s="57"/>
      <c r="J79" s="57"/>
      <c r="K79" s="57"/>
      <c r="L79" s="57"/>
      <c r="M79" s="57"/>
      <c r="N79" s="57"/>
      <c r="O79" s="57"/>
      <c r="P79" s="24"/>
      <c r="Q79" s="24"/>
      <c r="R79" s="6"/>
      <c r="S79" s="6"/>
      <c r="T79" s="6"/>
      <c r="U79" s="6"/>
      <c r="V79" s="6"/>
      <c r="W79" s="6"/>
      <c r="X79" s="6"/>
      <c r="Y79" s="6"/>
      <c r="Z79" s="6"/>
      <c r="AA79" s="68"/>
      <c r="AB79" s="68"/>
      <c r="AC79" s="6"/>
      <c r="AD79" s="95"/>
      <c r="AE79" s="99"/>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c r="HF79" s="3"/>
      <c r="HG79" s="3"/>
      <c r="HH79" s="3"/>
      <c r="HI79" s="3"/>
      <c r="HJ79" s="3"/>
      <c r="HK79" s="3"/>
      <c r="HL79" s="3"/>
      <c r="HM79" s="3"/>
      <c r="HN79" s="3"/>
      <c r="HO79" s="3"/>
      <c r="HP79" s="3"/>
      <c r="HQ79" s="3"/>
      <c r="HR79" s="3"/>
      <c r="HS79" s="3"/>
      <c r="HT79" s="3"/>
      <c r="HU79" s="3"/>
      <c r="HV79" s="3"/>
      <c r="HW79" s="3"/>
      <c r="HX79" s="3"/>
      <c r="HY79" s="3"/>
      <c r="HZ79" s="3"/>
      <c r="IA79" s="3"/>
      <c r="IB79" s="3"/>
      <c r="IC79" s="3"/>
      <c r="ID79" s="3"/>
      <c r="IE79" s="3"/>
      <c r="IF79" s="3"/>
      <c r="IG79" s="3"/>
      <c r="IH79" s="3"/>
      <c r="II79" s="3"/>
      <c r="IJ79" s="3"/>
      <c r="IK79" s="3"/>
      <c r="IL79" s="3"/>
      <c r="IM79" s="3"/>
      <c r="IN79" s="3"/>
      <c r="IO79" s="3"/>
      <c r="IP79" s="3"/>
      <c r="IQ79" s="3"/>
      <c r="IR79" s="3"/>
    </row>
    <row r="80" spans="1:252" s="96" customFormat="1" ht="15" hidden="1">
      <c r="A80" s="6"/>
      <c r="B80" s="57"/>
      <c r="C80" s="57"/>
      <c r="D80" s="57"/>
      <c r="E80" s="57"/>
      <c r="F80" s="57"/>
      <c r="G80" s="57"/>
      <c r="H80" s="57"/>
      <c r="I80" s="57"/>
      <c r="J80" s="57"/>
      <c r="K80" s="57"/>
      <c r="L80" s="57"/>
      <c r="M80" s="57"/>
      <c r="N80" s="57"/>
      <c r="O80" s="57"/>
      <c r="P80" s="24"/>
      <c r="Q80" s="24"/>
      <c r="R80" s="6"/>
      <c r="S80" s="6"/>
      <c r="T80" s="6"/>
      <c r="U80" s="6"/>
      <c r="V80" s="6"/>
      <c r="W80" s="6"/>
      <c r="X80" s="6"/>
      <c r="Y80" s="6"/>
      <c r="Z80" s="6"/>
      <c r="AA80" s="68"/>
      <c r="AB80" s="68"/>
      <c r="AC80" s="6"/>
      <c r="AD80" s="95"/>
      <c r="AE80" s="99"/>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c r="HF80" s="3"/>
      <c r="HG80" s="3"/>
      <c r="HH80" s="3"/>
      <c r="HI80" s="3"/>
      <c r="HJ80" s="3"/>
      <c r="HK80" s="3"/>
      <c r="HL80" s="3"/>
      <c r="HM80" s="3"/>
      <c r="HN80" s="3"/>
      <c r="HO80" s="3"/>
      <c r="HP80" s="3"/>
      <c r="HQ80" s="3"/>
      <c r="HR80" s="3"/>
      <c r="HS80" s="3"/>
      <c r="HT80" s="3"/>
      <c r="HU80" s="3"/>
      <c r="HV80" s="3"/>
      <c r="HW80" s="3"/>
      <c r="HX80" s="3"/>
      <c r="HY80" s="3"/>
      <c r="HZ80" s="3"/>
      <c r="IA80" s="3"/>
      <c r="IB80" s="3"/>
      <c r="IC80" s="3"/>
      <c r="ID80" s="3"/>
      <c r="IE80" s="3"/>
      <c r="IF80" s="3"/>
      <c r="IG80" s="3"/>
      <c r="IH80" s="3"/>
      <c r="II80" s="3"/>
      <c r="IJ80" s="3"/>
      <c r="IK80" s="3"/>
      <c r="IL80" s="3"/>
      <c r="IM80" s="3"/>
      <c r="IN80" s="3"/>
      <c r="IO80" s="3"/>
      <c r="IP80" s="3"/>
      <c r="IQ80" s="3"/>
      <c r="IR80" s="3"/>
    </row>
  </sheetData>
  <sheetProtection password="EE1F" sheet="1" objects="1" scenarios="1" selectLockedCells="1"/>
  <protectedRanges>
    <protectedRange sqref="M7 F12 I13:M13 F16 E17 I17:M17 F22:H52 L23:P52 C22:C52" name="Eingabebereich"/>
  </protectedRanges>
  <mergeCells count="47">
    <mergeCell ref="L21:P21"/>
    <mergeCell ref="B2:H2"/>
    <mergeCell ref="I2:J2"/>
    <mergeCell ref="K2:L2"/>
    <mergeCell ref="E5:H5"/>
    <mergeCell ref="M5:O5"/>
    <mergeCell ref="E7:H7"/>
    <mergeCell ref="M7:O7"/>
    <mergeCell ref="E17:F17"/>
    <mergeCell ref="C20:E20"/>
    <mergeCell ref="F20:H20"/>
    <mergeCell ref="I20:K20"/>
    <mergeCell ref="L20:P20"/>
    <mergeCell ref="L33:P33"/>
    <mergeCell ref="L22:P22"/>
    <mergeCell ref="L23:P23"/>
    <mergeCell ref="L24:P24"/>
    <mergeCell ref="L25:P25"/>
    <mergeCell ref="L26:P26"/>
    <mergeCell ref="L27:P27"/>
    <mergeCell ref="L28:P28"/>
    <mergeCell ref="L29:P29"/>
    <mergeCell ref="L30:P30"/>
    <mergeCell ref="L31:P31"/>
    <mergeCell ref="L32:P32"/>
    <mergeCell ref="L45:P45"/>
    <mergeCell ref="L34:P34"/>
    <mergeCell ref="L35:P35"/>
    <mergeCell ref="L36:P36"/>
    <mergeCell ref="L37:P37"/>
    <mergeCell ref="L38:P38"/>
    <mergeCell ref="L39:P39"/>
    <mergeCell ref="L40:P40"/>
    <mergeCell ref="L41:P41"/>
    <mergeCell ref="L42:P42"/>
    <mergeCell ref="L43:P43"/>
    <mergeCell ref="L44:P44"/>
    <mergeCell ref="L52:P52"/>
    <mergeCell ref="K55:O55"/>
    <mergeCell ref="C60:G60"/>
    <mergeCell ref="L60:P60"/>
    <mergeCell ref="L46:P46"/>
    <mergeCell ref="L47:P47"/>
    <mergeCell ref="L48:P48"/>
    <mergeCell ref="L49:P49"/>
    <mergeCell ref="L50:P50"/>
    <mergeCell ref="L51:P51"/>
  </mergeCells>
  <conditionalFormatting sqref="C22:I52 L23:L39 L44:L52">
    <cfRule type="expression" dxfId="1287" priority="243" stopIfTrue="1">
      <formula>OR(($A22="Samstag"),($A22="Sonntag"),($AA22=TRUE()))</formula>
    </cfRule>
  </conditionalFormatting>
  <conditionalFormatting sqref="B22:B52">
    <cfRule type="expression" dxfId="1286" priority="119" stopIfTrue="1">
      <formula>$AA22=TRUE()</formula>
    </cfRule>
    <cfRule type="expression" dxfId="1285" priority="123" stopIfTrue="1">
      <formula>OR(($A22="Samstag"),($A22="Sonntag"))</formula>
    </cfRule>
    <cfRule type="expression" dxfId="1284" priority="124" stopIfTrue="1">
      <formula>AND($E$17&lt;&gt;"",$B22&gt;=$E$17)</formula>
    </cfRule>
  </conditionalFormatting>
  <conditionalFormatting sqref="F32:H32 L23:L39">
    <cfRule type="expression" dxfId="1283" priority="242" stopIfTrue="1">
      <formula>OR(($A23="Samstag"),($A23="Sonntag"))</formula>
    </cfRule>
  </conditionalFormatting>
  <conditionalFormatting sqref="F32:H32">
    <cfRule type="expression" dxfId="1282" priority="241" stopIfTrue="1">
      <formula>OR(($A32="Samstag"),($A32="Sonntag"))</formula>
    </cfRule>
  </conditionalFormatting>
  <conditionalFormatting sqref="F52:H52">
    <cfRule type="expression" dxfId="1281" priority="230" stopIfTrue="1">
      <formula>OR(($A52="Samstag"),($A52="Sonntag"))</formula>
    </cfRule>
  </conditionalFormatting>
  <conditionalFormatting sqref="F52:H52">
    <cfRule type="expression" dxfId="1280" priority="229" stopIfTrue="1">
      <formula>OR(($A52="Samstag"),($A52="Sonntag"))</formula>
    </cfRule>
  </conditionalFormatting>
  <conditionalFormatting sqref="F46:H46">
    <cfRule type="expression" dxfId="1279" priority="233" stopIfTrue="1">
      <formula>OR(($A46="Samstag"),($A46="Sonntag"))</formula>
    </cfRule>
  </conditionalFormatting>
  <conditionalFormatting sqref="F32:H32">
    <cfRule type="expression" dxfId="1278" priority="237" stopIfTrue="1">
      <formula>OR(($A32="Samstag"),($A32="Sonntag"))</formula>
    </cfRule>
  </conditionalFormatting>
  <conditionalFormatting sqref="F24:H25">
    <cfRule type="expression" dxfId="1277" priority="240" stopIfTrue="1">
      <formula>OR(($A24="Samstag"),($A24="Sonntag"))</formula>
    </cfRule>
  </conditionalFormatting>
  <conditionalFormatting sqref="F24:H24">
    <cfRule type="expression" dxfId="1276" priority="239" stopIfTrue="1">
      <formula>OR(($A24="Samstag"),($A24="Sonntag"))</formula>
    </cfRule>
  </conditionalFormatting>
  <conditionalFormatting sqref="F25:H25">
    <cfRule type="expression" dxfId="1275" priority="238" stopIfTrue="1">
      <formula>OR(($A25="Samstag"),($A25="Sonntag"))</formula>
    </cfRule>
  </conditionalFormatting>
  <conditionalFormatting sqref="F39:H39">
    <cfRule type="expression" dxfId="1274" priority="235" stopIfTrue="1">
      <formula>OR(($A39="Samstag"),($A39="Sonntag"))</formula>
    </cfRule>
  </conditionalFormatting>
  <conditionalFormatting sqref="F39:H39">
    <cfRule type="expression" dxfId="1273" priority="236" stopIfTrue="1">
      <formula>OR(($A39="Samstag"),($A39="Sonntag"))</formula>
    </cfRule>
  </conditionalFormatting>
  <conditionalFormatting sqref="F39:H39">
    <cfRule type="expression" dxfId="1272" priority="234" stopIfTrue="1">
      <formula>OR(($A39="Samstag"),($A39="Sonntag"))</formula>
    </cfRule>
  </conditionalFormatting>
  <conditionalFormatting sqref="F46:H46">
    <cfRule type="expression" dxfId="1271" priority="232" stopIfTrue="1">
      <formula>OR(($A46="Samstag"),($A46="Sonntag"))</formula>
    </cfRule>
  </conditionalFormatting>
  <conditionalFormatting sqref="F46:H46">
    <cfRule type="expression" dxfId="1270" priority="231" stopIfTrue="1">
      <formula>OR(($A46="Samstag"),($A46="Sonntag"))</formula>
    </cfRule>
  </conditionalFormatting>
  <conditionalFormatting sqref="F22:H52">
    <cfRule type="expression" dxfId="1269" priority="228" stopIfTrue="1">
      <formula>OR(($A22="Samstag"),($A22="Sonntag"))</formula>
    </cfRule>
  </conditionalFormatting>
  <conditionalFormatting sqref="F22:H52">
    <cfRule type="expression" dxfId="1268" priority="227" stopIfTrue="1">
      <formula>OR(($A22="Samstag"),($A22="Sonntag"))</formula>
    </cfRule>
  </conditionalFormatting>
  <conditionalFormatting sqref="G23">
    <cfRule type="expression" dxfId="1267" priority="226" stopIfTrue="1">
      <formula>OR(($A23="Samstag"),($A23="Sonntag"))</formula>
    </cfRule>
  </conditionalFormatting>
  <conditionalFormatting sqref="G23">
    <cfRule type="expression" dxfId="1266" priority="225" stopIfTrue="1">
      <formula>OR(($A23="Samstag"),($A23="Sonntag"))</formula>
    </cfRule>
  </conditionalFormatting>
  <conditionalFormatting sqref="F31:H31">
    <cfRule type="expression" dxfId="1265" priority="224" stopIfTrue="1">
      <formula>OR(($A31="Samstag"),($A31="Sonntag"))</formula>
    </cfRule>
  </conditionalFormatting>
  <conditionalFormatting sqref="F31:H31">
    <cfRule type="expression" dxfId="1264" priority="223" stopIfTrue="1">
      <formula>OR(($A31="Samstag"),($A31="Sonntag"))</formula>
    </cfRule>
  </conditionalFormatting>
  <conditionalFormatting sqref="F38:H38">
    <cfRule type="expression" dxfId="1263" priority="222" stopIfTrue="1">
      <formula>OR(($A38="Samstag"),($A38="Sonntag"))</formula>
    </cfRule>
  </conditionalFormatting>
  <conditionalFormatting sqref="F38:H38">
    <cfRule type="expression" dxfId="1262" priority="221" stopIfTrue="1">
      <formula>OR(($A38="Samstag"),($A38="Sonntag"))</formula>
    </cfRule>
  </conditionalFormatting>
  <conditionalFormatting sqref="F45:H45">
    <cfRule type="expression" dxfId="1261" priority="220" stopIfTrue="1">
      <formula>OR(($A45="Samstag"),($A45="Sonntag"))</formula>
    </cfRule>
  </conditionalFormatting>
  <conditionalFormatting sqref="F45:H45">
    <cfRule type="expression" dxfId="1260" priority="219" stopIfTrue="1">
      <formula>OR(($A45="Samstag"),($A45="Sonntag"))</formula>
    </cfRule>
  </conditionalFormatting>
  <conditionalFormatting sqref="G26:G30">
    <cfRule type="expression" dxfId="1259" priority="218" stopIfTrue="1">
      <formula>OR(($A26="Samstag"),($A26="Sonntag"))</formula>
    </cfRule>
  </conditionalFormatting>
  <conditionalFormatting sqref="G26:G30">
    <cfRule type="expression" dxfId="1258" priority="217" stopIfTrue="1">
      <formula>OR(($A26="Samstag"),($A26="Sonntag"))</formula>
    </cfRule>
  </conditionalFormatting>
  <conditionalFormatting sqref="G33:G37">
    <cfRule type="expression" dxfId="1257" priority="216" stopIfTrue="1">
      <formula>OR(($A33="Samstag"),($A33="Sonntag"))</formula>
    </cfRule>
  </conditionalFormatting>
  <conditionalFormatting sqref="G33:G37">
    <cfRule type="expression" dxfId="1256" priority="215" stopIfTrue="1">
      <formula>OR(($A33="Samstag"),($A33="Sonntag"))</formula>
    </cfRule>
  </conditionalFormatting>
  <conditionalFormatting sqref="G40:G44">
    <cfRule type="expression" dxfId="1255" priority="214" stopIfTrue="1">
      <formula>OR(($A40="Samstag"),($A40="Sonntag"))</formula>
    </cfRule>
  </conditionalFormatting>
  <conditionalFormatting sqref="G40:G44">
    <cfRule type="expression" dxfId="1254" priority="213" stopIfTrue="1">
      <formula>OR(($A40="Samstag"),($A40="Sonntag"))</formula>
    </cfRule>
  </conditionalFormatting>
  <conditionalFormatting sqref="G47:G51">
    <cfRule type="expression" dxfId="1253" priority="212" stopIfTrue="1">
      <formula>OR(($A47="Samstag"),($A47="Sonntag"))</formula>
    </cfRule>
  </conditionalFormatting>
  <conditionalFormatting sqref="G47:G51">
    <cfRule type="expression" dxfId="1252" priority="211" stopIfTrue="1">
      <formula>OR(($A47="Samstag"),($A47="Sonntag"))</formula>
    </cfRule>
  </conditionalFormatting>
  <conditionalFormatting sqref="F23:H23">
    <cfRule type="expression" dxfId="1251" priority="210" stopIfTrue="1">
      <formula>OR(($A23="Samstag"),($A23="Sonntag"))</formula>
    </cfRule>
  </conditionalFormatting>
  <conditionalFormatting sqref="F23:H23">
    <cfRule type="expression" dxfId="1250" priority="209" stopIfTrue="1">
      <formula>OR(($A23="Samstag"),($A23="Sonntag"))</formula>
    </cfRule>
  </conditionalFormatting>
  <conditionalFormatting sqref="F26:H30">
    <cfRule type="expression" dxfId="1249" priority="208" stopIfTrue="1">
      <formula>OR(($A26="Samstag"),($A26="Sonntag"))</formula>
    </cfRule>
  </conditionalFormatting>
  <conditionalFormatting sqref="F26:H30">
    <cfRule type="expression" dxfId="1248" priority="207" stopIfTrue="1">
      <formula>OR(($A26="Samstag"),($A26="Sonntag"))</formula>
    </cfRule>
  </conditionalFormatting>
  <conditionalFormatting sqref="F33:H37">
    <cfRule type="expression" dxfId="1247" priority="206" stopIfTrue="1">
      <formula>OR(($A33="Samstag"),($A33="Sonntag"))</formula>
    </cfRule>
  </conditionalFormatting>
  <conditionalFormatting sqref="F33:H37">
    <cfRule type="expression" dxfId="1246" priority="205" stopIfTrue="1">
      <formula>OR(($A33="Samstag"),($A33="Sonntag"))</formula>
    </cfRule>
  </conditionalFormatting>
  <conditionalFormatting sqref="F40:H44">
    <cfRule type="expression" dxfId="1245" priority="204" stopIfTrue="1">
      <formula>OR(($A40="Samstag"),($A40="Sonntag"))</formula>
    </cfRule>
  </conditionalFormatting>
  <conditionalFormatting sqref="F40:H44">
    <cfRule type="expression" dxfId="1244" priority="203" stopIfTrue="1">
      <formula>OR(($A40="Samstag"),($A40="Sonntag"))</formula>
    </cfRule>
  </conditionalFormatting>
  <conditionalFormatting sqref="H40:H44">
    <cfRule type="expression" dxfId="1243" priority="194" stopIfTrue="1">
      <formula>OR(($A40="Samstag"),($A40="Sonntag"))</formula>
    </cfRule>
  </conditionalFormatting>
  <conditionalFormatting sqref="H40:H44">
    <cfRule type="expression" dxfId="1242" priority="193" stopIfTrue="1">
      <formula>OR(($A40="Samstag"),($A40="Sonntag"))</formula>
    </cfRule>
  </conditionalFormatting>
  <conditionalFormatting sqref="F47:H51">
    <cfRule type="expression" dxfId="1241" priority="202" stopIfTrue="1">
      <formula>OR(($A47="Samstag"),($A47="Sonntag"))</formula>
    </cfRule>
  </conditionalFormatting>
  <conditionalFormatting sqref="F47:H51">
    <cfRule type="expression" dxfId="1240" priority="201" stopIfTrue="1">
      <formula>OR(($A47="Samstag"),($A47="Sonntag"))</formula>
    </cfRule>
  </conditionalFormatting>
  <conditionalFormatting sqref="H23">
    <cfRule type="expression" dxfId="1239" priority="200" stopIfTrue="1">
      <formula>OR(($A23="Samstag"),($A23="Sonntag"))</formula>
    </cfRule>
  </conditionalFormatting>
  <conditionalFormatting sqref="H23">
    <cfRule type="expression" dxfId="1238" priority="199" stopIfTrue="1">
      <formula>OR(($A23="Samstag"),($A23="Sonntag"))</formula>
    </cfRule>
  </conditionalFormatting>
  <conditionalFormatting sqref="H26:H30">
    <cfRule type="expression" dxfId="1237" priority="198" stopIfTrue="1">
      <formula>OR(($A26="Samstag"),($A26="Sonntag"))</formula>
    </cfRule>
  </conditionalFormatting>
  <conditionalFormatting sqref="H26:H30">
    <cfRule type="expression" dxfId="1236" priority="197" stopIfTrue="1">
      <formula>OR(($A26="Samstag"),($A26="Sonntag"))</formula>
    </cfRule>
  </conditionalFormatting>
  <conditionalFormatting sqref="H33:H37">
    <cfRule type="expression" dxfId="1235" priority="196" stopIfTrue="1">
      <formula>OR(($A33="Samstag"),($A33="Sonntag"))</formula>
    </cfRule>
  </conditionalFormatting>
  <conditionalFormatting sqref="H33:H37">
    <cfRule type="expression" dxfId="1234" priority="195" stopIfTrue="1">
      <formula>OR(($A33="Samstag"),($A33="Sonntag"))</formula>
    </cfRule>
  </conditionalFormatting>
  <conditionalFormatting sqref="H47:H51">
    <cfRule type="expression" dxfId="1233" priority="192" stopIfTrue="1">
      <formula>OR(($A47="Samstag"),($A47="Sonntag"))</formula>
    </cfRule>
  </conditionalFormatting>
  <conditionalFormatting sqref="H47:H51">
    <cfRule type="expression" dxfId="1232" priority="191" stopIfTrue="1">
      <formula>OR(($A47="Samstag"),($A47="Sonntag"))</formula>
    </cfRule>
  </conditionalFormatting>
  <conditionalFormatting sqref="I22:I52">
    <cfRule type="expression" dxfId="1231" priority="176" stopIfTrue="1">
      <formula>OR(($A22="Samstag"),($A22="Sonntag"))</formula>
    </cfRule>
  </conditionalFormatting>
  <conditionalFormatting sqref="I22:I52">
    <cfRule type="expression" dxfId="1230" priority="175" stopIfTrue="1">
      <formula>OR(($A22="Samstag"),($A22="Sonntag"))</formula>
    </cfRule>
  </conditionalFormatting>
  <conditionalFormatting sqref="N13 N17">
    <cfRule type="cellIs" dxfId="1229" priority="125" stopIfTrue="1" operator="equal">
      <formula>0</formula>
    </cfRule>
  </conditionalFormatting>
  <conditionalFormatting sqref="N13">
    <cfRule type="cellIs" dxfId="1228" priority="245" stopIfTrue="1" operator="equal">
      <formula>$F$12</formula>
    </cfRule>
    <cfRule type="cellIs" dxfId="1227" priority="246" stopIfTrue="1" operator="notEqual">
      <formula>$F$12</formula>
    </cfRule>
  </conditionalFormatting>
  <conditionalFormatting sqref="N17">
    <cfRule type="cellIs" dxfId="1226" priority="126" stopIfTrue="1" operator="notEqual">
      <formula>$F$16</formula>
    </cfRule>
    <cfRule type="cellIs" dxfId="1225" priority="244" stopIfTrue="1" operator="equal">
      <formula>$F$16</formula>
    </cfRule>
  </conditionalFormatting>
  <conditionalFormatting sqref="I23:I52">
    <cfRule type="expression" dxfId="1224" priority="122" stopIfTrue="1">
      <formula>OR(($A23="Samstag"),($A23="Sonntag"))</formula>
    </cfRule>
  </conditionalFormatting>
  <conditionalFormatting sqref="I23:I52">
    <cfRule type="expression" dxfId="1223" priority="121" stopIfTrue="1">
      <formula>OR(($A23="Samstag"),($A23="Sonntag"))</formula>
    </cfRule>
  </conditionalFormatting>
  <conditionalFormatting sqref="K55:N55">
    <cfRule type="expression" dxfId="1222" priority="120" stopIfTrue="1">
      <formula>OR(($A55="Samstag"),($A55="Sonntag"))</formula>
    </cfRule>
  </conditionalFormatting>
  <conditionalFormatting sqref="G32">
    <cfRule type="expression" dxfId="1221" priority="118" stopIfTrue="1">
      <formula>OR(($A32="Samstag"),($A32="Sonntag"))</formula>
    </cfRule>
  </conditionalFormatting>
  <conditionalFormatting sqref="G32">
    <cfRule type="expression" dxfId="1220" priority="117" stopIfTrue="1">
      <formula>OR(($A32="Samstag"),($A32="Sonntag"))</formula>
    </cfRule>
  </conditionalFormatting>
  <conditionalFormatting sqref="G52">
    <cfRule type="expression" dxfId="1219" priority="106" stopIfTrue="1">
      <formula>OR(($A52="Samstag"),($A52="Sonntag"))</formula>
    </cfRule>
  </conditionalFormatting>
  <conditionalFormatting sqref="G52">
    <cfRule type="expression" dxfId="1218" priority="105" stopIfTrue="1">
      <formula>OR(($A52="Samstag"),($A52="Sonntag"))</formula>
    </cfRule>
  </conditionalFormatting>
  <conditionalFormatting sqref="G46">
    <cfRule type="expression" dxfId="1217" priority="109" stopIfTrue="1">
      <formula>OR(($A46="Samstag"),($A46="Sonntag"))</formula>
    </cfRule>
  </conditionalFormatting>
  <conditionalFormatting sqref="G32">
    <cfRule type="expression" dxfId="1216" priority="113" stopIfTrue="1">
      <formula>OR(($A32="Samstag"),($A32="Sonntag"))</formula>
    </cfRule>
  </conditionalFormatting>
  <conditionalFormatting sqref="G24:G25">
    <cfRule type="expression" dxfId="1215" priority="116" stopIfTrue="1">
      <formula>OR(($A24="Samstag"),($A24="Sonntag"))</formula>
    </cfRule>
  </conditionalFormatting>
  <conditionalFormatting sqref="G24">
    <cfRule type="expression" dxfId="1214" priority="115" stopIfTrue="1">
      <formula>OR(($A24="Samstag"),($A24="Sonntag"))</formula>
    </cfRule>
  </conditionalFormatting>
  <conditionalFormatting sqref="G25">
    <cfRule type="expression" dxfId="1213" priority="114" stopIfTrue="1">
      <formula>OR(($A25="Samstag"),($A25="Sonntag"))</formula>
    </cfRule>
  </conditionalFormatting>
  <conditionalFormatting sqref="G39">
    <cfRule type="expression" dxfId="1212" priority="111" stopIfTrue="1">
      <formula>OR(($A39="Samstag"),($A39="Sonntag"))</formula>
    </cfRule>
  </conditionalFormatting>
  <conditionalFormatting sqref="G39">
    <cfRule type="expression" dxfId="1211" priority="112" stopIfTrue="1">
      <formula>OR(($A39="Samstag"),($A39="Sonntag"))</formula>
    </cfRule>
  </conditionalFormatting>
  <conditionalFormatting sqref="G39">
    <cfRule type="expression" dxfId="1210" priority="110" stopIfTrue="1">
      <formula>OR(($A39="Samstag"),($A39="Sonntag"))</formula>
    </cfRule>
  </conditionalFormatting>
  <conditionalFormatting sqref="G46">
    <cfRule type="expression" dxfId="1209" priority="108" stopIfTrue="1">
      <formula>OR(($A46="Samstag"),($A46="Sonntag"))</formula>
    </cfRule>
  </conditionalFormatting>
  <conditionalFormatting sqref="G46">
    <cfRule type="expression" dxfId="1208" priority="107" stopIfTrue="1">
      <formula>OR(($A46="Samstag"),($A46="Sonntag"))</formula>
    </cfRule>
  </conditionalFormatting>
  <conditionalFormatting sqref="F22:H52">
    <cfRule type="expression" dxfId="1207" priority="104" stopIfTrue="1">
      <formula>OR(($A22="Samstag"),($A22="Sonntag"))</formula>
    </cfRule>
  </conditionalFormatting>
  <conditionalFormatting sqref="F22:H52">
    <cfRule type="expression" dxfId="1206" priority="103" stopIfTrue="1">
      <formula>OR(($A22="Samstag"),($A22="Sonntag"))</formula>
    </cfRule>
  </conditionalFormatting>
  <conditionalFormatting sqref="G31">
    <cfRule type="expression" dxfId="1205" priority="102" stopIfTrue="1">
      <formula>OR(($A31="Samstag"),($A31="Sonntag"))</formula>
    </cfRule>
  </conditionalFormatting>
  <conditionalFormatting sqref="G31">
    <cfRule type="expression" dxfId="1204" priority="101" stopIfTrue="1">
      <formula>OR(($A31="Samstag"),($A31="Sonntag"))</formula>
    </cfRule>
  </conditionalFormatting>
  <conditionalFormatting sqref="G38">
    <cfRule type="expression" dxfId="1203" priority="100" stopIfTrue="1">
      <formula>OR(($A38="Samstag"),($A38="Sonntag"))</formula>
    </cfRule>
  </conditionalFormatting>
  <conditionalFormatting sqref="G38">
    <cfRule type="expression" dxfId="1202" priority="99" stopIfTrue="1">
      <formula>OR(($A38="Samstag"),($A38="Sonntag"))</formula>
    </cfRule>
  </conditionalFormatting>
  <conditionalFormatting sqref="G45">
    <cfRule type="expression" dxfId="1201" priority="98" stopIfTrue="1">
      <formula>OR(($A45="Samstag"),($A45="Sonntag"))</formula>
    </cfRule>
  </conditionalFormatting>
  <conditionalFormatting sqref="G45">
    <cfRule type="expression" dxfId="1200" priority="97" stopIfTrue="1">
      <formula>OR(($A45="Samstag"),($A45="Sonntag"))</formula>
    </cfRule>
  </conditionalFormatting>
  <conditionalFormatting sqref="G40:G44">
    <cfRule type="expression" dxfId="1199" priority="90" stopIfTrue="1">
      <formula>OR(($A40="Samstag"),($A40="Sonntag"))</formula>
    </cfRule>
  </conditionalFormatting>
  <conditionalFormatting sqref="G40:G44">
    <cfRule type="expression" dxfId="1198" priority="89" stopIfTrue="1">
      <formula>OR(($A40="Samstag"),($A40="Sonntag"))</formula>
    </cfRule>
  </conditionalFormatting>
  <conditionalFormatting sqref="G23">
    <cfRule type="expression" dxfId="1197" priority="96" stopIfTrue="1">
      <formula>OR(($A23="Samstag"),($A23="Sonntag"))</formula>
    </cfRule>
  </conditionalFormatting>
  <conditionalFormatting sqref="G23">
    <cfRule type="expression" dxfId="1196" priority="95" stopIfTrue="1">
      <formula>OR(($A23="Samstag"),($A23="Sonntag"))</formula>
    </cfRule>
  </conditionalFormatting>
  <conditionalFormatting sqref="G26:G30">
    <cfRule type="expression" dxfId="1195" priority="94" stopIfTrue="1">
      <formula>OR(($A26="Samstag"),($A26="Sonntag"))</formula>
    </cfRule>
  </conditionalFormatting>
  <conditionalFormatting sqref="G26:G30">
    <cfRule type="expression" dxfId="1194" priority="93" stopIfTrue="1">
      <formula>OR(($A26="Samstag"),($A26="Sonntag"))</formula>
    </cfRule>
  </conditionalFormatting>
  <conditionalFormatting sqref="G33:G37">
    <cfRule type="expression" dxfId="1193" priority="92" stopIfTrue="1">
      <formula>OR(($A33="Samstag"),($A33="Sonntag"))</formula>
    </cfRule>
  </conditionalFormatting>
  <conditionalFormatting sqref="G33:G37">
    <cfRule type="expression" dxfId="1192" priority="91" stopIfTrue="1">
      <formula>OR(($A33="Samstag"),($A33="Sonntag"))</formula>
    </cfRule>
  </conditionalFormatting>
  <conditionalFormatting sqref="G47:G51">
    <cfRule type="expression" dxfId="1191" priority="88" stopIfTrue="1">
      <formula>OR(($A47="Samstag"),($A47="Sonntag"))</formula>
    </cfRule>
  </conditionalFormatting>
  <conditionalFormatting sqref="G47:G51">
    <cfRule type="expression" dxfId="1190" priority="87" stopIfTrue="1">
      <formula>OR(($A47="Samstag"),($A47="Sonntag"))</formula>
    </cfRule>
  </conditionalFormatting>
  <conditionalFormatting sqref="H32">
    <cfRule type="expression" dxfId="1189" priority="86" stopIfTrue="1">
      <formula>OR(($A32="Samstag"),($A32="Sonntag"))</formula>
    </cfRule>
  </conditionalFormatting>
  <conditionalFormatting sqref="H32">
    <cfRule type="expression" dxfId="1188" priority="85" stopIfTrue="1">
      <formula>OR(($A32="Samstag"),($A32="Sonntag"))</formula>
    </cfRule>
  </conditionalFormatting>
  <conditionalFormatting sqref="H52">
    <cfRule type="expression" dxfId="1187" priority="74" stopIfTrue="1">
      <formula>OR(($A52="Samstag"),($A52="Sonntag"))</formula>
    </cfRule>
  </conditionalFormatting>
  <conditionalFormatting sqref="H52">
    <cfRule type="expression" dxfId="1186" priority="73" stopIfTrue="1">
      <formula>OR(($A52="Samstag"),($A52="Sonntag"))</formula>
    </cfRule>
  </conditionalFormatting>
  <conditionalFormatting sqref="H46">
    <cfRule type="expression" dxfId="1185" priority="77" stopIfTrue="1">
      <formula>OR(($A46="Samstag"),($A46="Sonntag"))</formula>
    </cfRule>
  </conditionalFormatting>
  <conditionalFormatting sqref="H32">
    <cfRule type="expression" dxfId="1184" priority="81" stopIfTrue="1">
      <formula>OR(($A32="Samstag"),($A32="Sonntag"))</formula>
    </cfRule>
  </conditionalFormatting>
  <conditionalFormatting sqref="H24:H25">
    <cfRule type="expression" dxfId="1183" priority="84" stopIfTrue="1">
      <formula>OR(($A24="Samstag"),($A24="Sonntag"))</formula>
    </cfRule>
  </conditionalFormatting>
  <conditionalFormatting sqref="H24">
    <cfRule type="expression" dxfId="1182" priority="83" stopIfTrue="1">
      <formula>OR(($A24="Samstag"),($A24="Sonntag"))</formula>
    </cfRule>
  </conditionalFormatting>
  <conditionalFormatting sqref="H25">
    <cfRule type="expression" dxfId="1181" priority="82" stopIfTrue="1">
      <formula>OR(($A25="Samstag"),($A25="Sonntag"))</formula>
    </cfRule>
  </conditionalFormatting>
  <conditionalFormatting sqref="H39">
    <cfRule type="expression" dxfId="1180" priority="79" stopIfTrue="1">
      <formula>OR(($A39="Samstag"),($A39="Sonntag"))</formula>
    </cfRule>
  </conditionalFormatting>
  <conditionalFormatting sqref="H39">
    <cfRule type="expression" dxfId="1179" priority="80" stopIfTrue="1">
      <formula>OR(($A39="Samstag"),($A39="Sonntag"))</formula>
    </cfRule>
  </conditionalFormatting>
  <conditionalFormatting sqref="H39">
    <cfRule type="expression" dxfId="1178" priority="78" stopIfTrue="1">
      <formula>OR(($A39="Samstag"),($A39="Sonntag"))</formula>
    </cfRule>
  </conditionalFormatting>
  <conditionalFormatting sqref="H46">
    <cfRule type="expression" dxfId="1177" priority="76" stopIfTrue="1">
      <formula>OR(($A46="Samstag"),($A46="Sonntag"))</formula>
    </cfRule>
  </conditionalFormatting>
  <conditionalFormatting sqref="H46">
    <cfRule type="expression" dxfId="1176" priority="75" stopIfTrue="1">
      <formula>OR(($A46="Samstag"),($A46="Sonntag"))</formula>
    </cfRule>
  </conditionalFormatting>
  <conditionalFormatting sqref="H22:H52">
    <cfRule type="expression" dxfId="1175" priority="72" stopIfTrue="1">
      <formula>OR(($A22="Samstag"),($A22="Sonntag"))</formula>
    </cfRule>
  </conditionalFormatting>
  <conditionalFormatting sqref="H22:H52">
    <cfRule type="expression" dxfId="1174" priority="71" stopIfTrue="1">
      <formula>OR(($A22="Samstag"),($A22="Sonntag"))</formula>
    </cfRule>
  </conditionalFormatting>
  <conditionalFormatting sqref="H31">
    <cfRule type="expression" dxfId="1173" priority="70" stopIfTrue="1">
      <formula>OR(($A31="Samstag"),($A31="Sonntag"))</formula>
    </cfRule>
  </conditionalFormatting>
  <conditionalFormatting sqref="H31">
    <cfRule type="expression" dxfId="1172" priority="69" stopIfTrue="1">
      <formula>OR(($A31="Samstag"),($A31="Sonntag"))</formula>
    </cfRule>
  </conditionalFormatting>
  <conditionalFormatting sqref="H38">
    <cfRule type="expression" dxfId="1171" priority="68" stopIfTrue="1">
      <formula>OR(($A38="Samstag"),($A38="Sonntag"))</formula>
    </cfRule>
  </conditionalFormatting>
  <conditionalFormatting sqref="H38">
    <cfRule type="expression" dxfId="1170" priority="67" stopIfTrue="1">
      <formula>OR(($A38="Samstag"),($A38="Sonntag"))</formula>
    </cfRule>
  </conditionalFormatting>
  <conditionalFormatting sqref="H45">
    <cfRule type="expression" dxfId="1169" priority="66" stopIfTrue="1">
      <formula>OR(($A45="Samstag"),($A45="Sonntag"))</formula>
    </cfRule>
  </conditionalFormatting>
  <conditionalFormatting sqref="H45">
    <cfRule type="expression" dxfId="1168" priority="65" stopIfTrue="1">
      <formula>OR(($A45="Samstag"),($A45="Sonntag"))</formula>
    </cfRule>
  </conditionalFormatting>
  <conditionalFormatting sqref="H40:H44">
    <cfRule type="expression" dxfId="1167" priority="58" stopIfTrue="1">
      <formula>OR(($A40="Samstag"),($A40="Sonntag"))</formula>
    </cfRule>
  </conditionalFormatting>
  <conditionalFormatting sqref="H40:H44">
    <cfRule type="expression" dxfId="1166" priority="57" stopIfTrue="1">
      <formula>OR(($A40="Samstag"),($A40="Sonntag"))</formula>
    </cfRule>
  </conditionalFormatting>
  <conditionalFormatting sqref="H23">
    <cfRule type="expression" dxfId="1165" priority="64" stopIfTrue="1">
      <formula>OR(($A23="Samstag"),($A23="Sonntag"))</formula>
    </cfRule>
  </conditionalFormatting>
  <conditionalFormatting sqref="H23">
    <cfRule type="expression" dxfId="1164" priority="63" stopIfTrue="1">
      <formula>OR(($A23="Samstag"),($A23="Sonntag"))</formula>
    </cfRule>
  </conditionalFormatting>
  <conditionalFormatting sqref="H26:H30">
    <cfRule type="expression" dxfId="1163" priority="62" stopIfTrue="1">
      <formula>OR(($A26="Samstag"),($A26="Sonntag"))</formula>
    </cfRule>
  </conditionalFormatting>
  <conditionalFormatting sqref="H26:H30">
    <cfRule type="expression" dxfId="1162" priority="61" stopIfTrue="1">
      <formula>OR(($A26="Samstag"),($A26="Sonntag"))</formula>
    </cfRule>
  </conditionalFormatting>
  <conditionalFormatting sqref="H33:H37">
    <cfRule type="expression" dxfId="1161" priority="60" stopIfTrue="1">
      <formula>OR(($A33="Samstag"),($A33="Sonntag"))</formula>
    </cfRule>
  </conditionalFormatting>
  <conditionalFormatting sqref="H33:H37">
    <cfRule type="expression" dxfId="1160" priority="59" stopIfTrue="1">
      <formula>OR(($A33="Samstag"),($A33="Sonntag"))</formula>
    </cfRule>
  </conditionalFormatting>
  <conditionalFormatting sqref="H47:H51">
    <cfRule type="expression" dxfId="1159" priority="56" stopIfTrue="1">
      <formula>OR(($A47="Samstag"),($A47="Sonntag"))</formula>
    </cfRule>
  </conditionalFormatting>
  <conditionalFormatting sqref="H47:H51">
    <cfRule type="expression" dxfId="1158" priority="55" stopIfTrue="1">
      <formula>OR(($A47="Samstag"),($A47="Sonntag"))</formula>
    </cfRule>
  </conditionalFormatting>
  <conditionalFormatting sqref="F23:H52">
    <cfRule type="expression" dxfId="1157" priority="54" stopIfTrue="1">
      <formula>OR(($A23="Samstag"),($A23="Sonntag"))</formula>
    </cfRule>
  </conditionalFormatting>
  <conditionalFormatting sqref="F23:H52">
    <cfRule type="expression" dxfId="1156" priority="53" stopIfTrue="1">
      <formula>OR(($A23="Samstag"),($A23="Sonntag"))</formula>
    </cfRule>
  </conditionalFormatting>
  <conditionalFormatting sqref="I22:I52">
    <cfRule type="expression" dxfId="1155" priority="38">
      <formula>(I22&gt;10)</formula>
    </cfRule>
    <cfRule type="expression" dxfId="1154" priority="49" stopIfTrue="1">
      <formula>OR(($A22="Samstag"),($A22="Sonntag"))</formula>
    </cfRule>
    <cfRule type="expression" dxfId="1153" priority="50" stopIfTrue="1">
      <formula>OR(($A22="Samstag"),($A22="Sonntag"))</formula>
    </cfRule>
    <cfRule type="expression" dxfId="1152" priority="52" stopIfTrue="1">
      <formula>OR(($A22="Samstag"),($A22="Sonntag"))</formula>
    </cfRule>
  </conditionalFormatting>
  <conditionalFormatting sqref="I22:I52">
    <cfRule type="expression" dxfId="1151" priority="51" stopIfTrue="1">
      <formula>OR(($A22="Samstag"),($A22="Sonntag"))</formula>
    </cfRule>
  </conditionalFormatting>
  <conditionalFormatting sqref="K56:P59">
    <cfRule type="expression" dxfId="1150" priority="48">
      <formula>OR(ISERROR($K$55),($K$55&gt;""))</formula>
    </cfRule>
  </conditionalFormatting>
  <conditionalFormatting sqref="L44:L52">
    <cfRule type="expression" dxfId="1149" priority="44" stopIfTrue="1">
      <formula>OR(($A44="Samstag"),($A44="Sonntag"))</formula>
    </cfRule>
  </conditionalFormatting>
  <conditionalFormatting sqref="L44:L52">
    <cfRule type="expression" dxfId="1148" priority="47" stopIfTrue="1">
      <formula>OR(($A44="Samstag"),($A44="Sonntag"))</formula>
    </cfRule>
  </conditionalFormatting>
  <conditionalFormatting sqref="L44:L52">
    <cfRule type="expression" dxfId="1147" priority="46" stopIfTrue="1">
      <formula>OR(($A44="Samstag"),($A44="Sonntag"))</formula>
    </cfRule>
  </conditionalFormatting>
  <conditionalFormatting sqref="L44:L52">
    <cfRule type="expression" dxfId="1146" priority="45" stopIfTrue="1">
      <formula>OR(($A44="Samstag"),($A44="Sonntag"))</formula>
    </cfRule>
  </conditionalFormatting>
  <conditionalFormatting sqref="L22">
    <cfRule type="expression" dxfId="1145" priority="43" stopIfTrue="1">
      <formula>OR(($A22="Samstag"),($A22="Sonntag"),($AA22=TRUE()))</formula>
    </cfRule>
  </conditionalFormatting>
  <conditionalFormatting sqref="L22">
    <cfRule type="expression" dxfId="1144" priority="42" stopIfTrue="1">
      <formula>OR(($A22="Samstag"),($A22="Sonntag"))</formula>
    </cfRule>
  </conditionalFormatting>
  <conditionalFormatting sqref="L40:L43">
    <cfRule type="expression" dxfId="1143" priority="41" stopIfTrue="1">
      <formula>OR(($A40="Samstag"),($A40="Sonntag"),($AA40=TRUE()))</formula>
    </cfRule>
  </conditionalFormatting>
  <conditionalFormatting sqref="L40:L43">
    <cfRule type="expression" dxfId="1142" priority="40" stopIfTrue="1">
      <formula>OR(($A40="Samstag"),($A40="Sonntag"))</formula>
    </cfRule>
  </conditionalFormatting>
  <conditionalFormatting sqref="G22:G52">
    <cfRule type="expression" dxfId="1141" priority="39">
      <formula>OR(AND(I22&gt;6,G22&lt;TIME(0,30,0)),AND(I22&gt;9,G22&lt;TIME(0,45,0)))</formula>
    </cfRule>
  </conditionalFormatting>
  <conditionalFormatting sqref="J22:K52">
    <cfRule type="expression" dxfId="1140" priority="37" stopIfTrue="1">
      <formula>OR(($A22="Samstag"),($A22="Sonntag"),($AA22=TRUE()))</formula>
    </cfRule>
  </conditionalFormatting>
  <conditionalFormatting sqref="J22:J52">
    <cfRule type="expression" dxfId="1139" priority="36" stopIfTrue="1">
      <formula>OR(($A22="Samstag"),($A22="Sonntag"))</formula>
    </cfRule>
  </conditionalFormatting>
  <conditionalFormatting sqref="J22:J52">
    <cfRule type="expression" dxfId="1138" priority="35" stopIfTrue="1">
      <formula>OR(($A22="Samstag"),($A22="Sonntag"))</formula>
    </cfRule>
  </conditionalFormatting>
  <conditionalFormatting sqref="K32">
    <cfRule type="expression" dxfId="1137" priority="34" stopIfTrue="1">
      <formula>OR(($A32="Samstag"),($A32="Sonntag"))</formula>
    </cfRule>
  </conditionalFormatting>
  <conditionalFormatting sqref="K32">
    <cfRule type="expression" dxfId="1136" priority="33" stopIfTrue="1">
      <formula>OR(($A32="Samstag"),($A32="Sonntag"))</formula>
    </cfRule>
  </conditionalFormatting>
  <conditionalFormatting sqref="K52">
    <cfRule type="expression" dxfId="1135" priority="22" stopIfTrue="1">
      <formula>OR(($A52="Samstag"),($A52="Sonntag"))</formula>
    </cfRule>
  </conditionalFormatting>
  <conditionalFormatting sqref="K52">
    <cfRule type="expression" dxfId="1134" priority="21" stopIfTrue="1">
      <formula>OR(($A52="Samstag"),($A52="Sonntag"))</formula>
    </cfRule>
  </conditionalFormatting>
  <conditionalFormatting sqref="K46">
    <cfRule type="expression" dxfId="1133" priority="25" stopIfTrue="1">
      <formula>OR(($A46="Samstag"),($A46="Sonntag"))</formula>
    </cfRule>
  </conditionalFormatting>
  <conditionalFormatting sqref="K32">
    <cfRule type="expression" dxfId="1132" priority="29" stopIfTrue="1">
      <formula>OR(($A32="Samstag"),($A32="Sonntag"))</formula>
    </cfRule>
  </conditionalFormatting>
  <conditionalFormatting sqref="K24:K25">
    <cfRule type="expression" dxfId="1131" priority="32" stopIfTrue="1">
      <formula>OR(($A24="Samstag"),($A24="Sonntag"))</formula>
    </cfRule>
  </conditionalFormatting>
  <conditionalFormatting sqref="K24">
    <cfRule type="expression" dxfId="1130" priority="31" stopIfTrue="1">
      <formula>OR(($A24="Samstag"),($A24="Sonntag"))</formula>
    </cfRule>
  </conditionalFormatting>
  <conditionalFormatting sqref="K25">
    <cfRule type="expression" dxfId="1129" priority="30" stopIfTrue="1">
      <formula>OR(($A25="Samstag"),($A25="Sonntag"))</formula>
    </cfRule>
  </conditionalFormatting>
  <conditionalFormatting sqref="K39">
    <cfRule type="expression" dxfId="1128" priority="27" stopIfTrue="1">
      <formula>OR(($A39="Samstag"),($A39="Sonntag"))</formula>
    </cfRule>
  </conditionalFormatting>
  <conditionalFormatting sqref="K39">
    <cfRule type="expression" dxfId="1127" priority="28" stopIfTrue="1">
      <formula>OR(($A39="Samstag"),($A39="Sonntag"))</formula>
    </cfRule>
  </conditionalFormatting>
  <conditionalFormatting sqref="K39">
    <cfRule type="expression" dxfId="1126" priority="26" stopIfTrue="1">
      <formula>OR(($A39="Samstag"),($A39="Sonntag"))</formula>
    </cfRule>
  </conditionalFormatting>
  <conditionalFormatting sqref="K46">
    <cfRule type="expression" dxfId="1125" priority="24" stopIfTrue="1">
      <formula>OR(($A46="Samstag"),($A46="Sonntag"))</formula>
    </cfRule>
  </conditionalFormatting>
  <conditionalFormatting sqref="K46">
    <cfRule type="expression" dxfId="1124" priority="23" stopIfTrue="1">
      <formula>OR(($A46="Samstag"),($A46="Sonntag"))</formula>
    </cfRule>
  </conditionalFormatting>
  <conditionalFormatting sqref="K22:K52">
    <cfRule type="expression" dxfId="1123" priority="20" stopIfTrue="1">
      <formula>OR(($A22="Samstag"),($A22="Sonntag"))</formula>
    </cfRule>
  </conditionalFormatting>
  <conditionalFormatting sqref="K22:K52">
    <cfRule type="expression" dxfId="1122" priority="19" stopIfTrue="1">
      <formula>OR(($A22="Samstag"),($A22="Sonntag"))</formula>
    </cfRule>
  </conditionalFormatting>
  <conditionalFormatting sqref="K31">
    <cfRule type="expression" dxfId="1121" priority="18" stopIfTrue="1">
      <formula>OR(($A31="Samstag"),($A31="Sonntag"))</formula>
    </cfRule>
  </conditionalFormatting>
  <conditionalFormatting sqref="K31">
    <cfRule type="expression" dxfId="1120" priority="17" stopIfTrue="1">
      <formula>OR(($A31="Samstag"),($A31="Sonntag"))</formula>
    </cfRule>
  </conditionalFormatting>
  <conditionalFormatting sqref="K38">
    <cfRule type="expression" dxfId="1119" priority="16" stopIfTrue="1">
      <formula>OR(($A38="Samstag"),($A38="Sonntag"))</formula>
    </cfRule>
  </conditionalFormatting>
  <conditionalFormatting sqref="K38">
    <cfRule type="expression" dxfId="1118" priority="15" stopIfTrue="1">
      <formula>OR(($A38="Samstag"),($A38="Sonntag"))</formula>
    </cfRule>
  </conditionalFormatting>
  <conditionalFormatting sqref="K45">
    <cfRule type="expression" dxfId="1117" priority="14" stopIfTrue="1">
      <formula>OR(($A45="Samstag"),($A45="Sonntag"))</formula>
    </cfRule>
  </conditionalFormatting>
  <conditionalFormatting sqref="K45">
    <cfRule type="expression" dxfId="1116" priority="13" stopIfTrue="1">
      <formula>OR(($A45="Samstag"),($A45="Sonntag"))</formula>
    </cfRule>
  </conditionalFormatting>
  <conditionalFormatting sqref="K40:K44">
    <cfRule type="expression" dxfId="1115" priority="6" stopIfTrue="1">
      <formula>OR(($A40="Samstag"),($A40="Sonntag"))</formula>
    </cfRule>
  </conditionalFormatting>
  <conditionalFormatting sqref="K40:K44">
    <cfRule type="expression" dxfId="1114" priority="5" stopIfTrue="1">
      <formula>OR(($A40="Samstag"),($A40="Sonntag"))</formula>
    </cfRule>
  </conditionalFormatting>
  <conditionalFormatting sqref="K23">
    <cfRule type="expression" dxfId="1113" priority="12" stopIfTrue="1">
      <formula>OR(($A23="Samstag"),($A23="Sonntag"))</formula>
    </cfRule>
  </conditionalFormatting>
  <conditionalFormatting sqref="K23">
    <cfRule type="expression" dxfId="1112" priority="11" stopIfTrue="1">
      <formula>OR(($A23="Samstag"),($A23="Sonntag"))</formula>
    </cfRule>
  </conditionalFormatting>
  <conditionalFormatting sqref="K26:K30">
    <cfRule type="expression" dxfId="1111" priority="10" stopIfTrue="1">
      <formula>OR(($A26="Samstag"),($A26="Sonntag"))</formula>
    </cfRule>
  </conditionalFormatting>
  <conditionalFormatting sqref="K26:K30">
    <cfRule type="expression" dxfId="1110" priority="9" stopIfTrue="1">
      <formula>OR(($A26="Samstag"),($A26="Sonntag"))</formula>
    </cfRule>
  </conditionalFormatting>
  <conditionalFormatting sqref="K33:K37">
    <cfRule type="expression" dxfId="1109" priority="8" stopIfTrue="1">
      <formula>OR(($A33="Samstag"),($A33="Sonntag"))</formula>
    </cfRule>
  </conditionalFormatting>
  <conditionalFormatting sqref="K33:K37">
    <cfRule type="expression" dxfId="1108" priority="7" stopIfTrue="1">
      <formula>OR(($A33="Samstag"),($A33="Sonntag"))</formula>
    </cfRule>
  </conditionalFormatting>
  <conditionalFormatting sqref="K47:K51">
    <cfRule type="expression" dxfId="1107" priority="4" stopIfTrue="1">
      <formula>OR(($A47="Samstag"),($A47="Sonntag"))</formula>
    </cfRule>
  </conditionalFormatting>
  <conditionalFormatting sqref="K47:K51">
    <cfRule type="expression" dxfId="1106" priority="3" stopIfTrue="1">
      <formula>OR(($A47="Samstag"),($A47="Sonntag"))</formula>
    </cfRule>
  </conditionalFormatting>
  <conditionalFormatting sqref="J22:J52">
    <cfRule type="expression" dxfId="1105" priority="2" stopIfTrue="1">
      <formula>OR(($A22="Samstag"),($A22="Sonntag"))</formula>
    </cfRule>
  </conditionalFormatting>
  <conditionalFormatting sqref="J22:J52">
    <cfRule type="expression" dxfId="1104" priority="1" stopIfTrue="1">
      <formula>OR(($A22="Samstag"),($A22="Sonntag"))</formula>
    </cfRule>
  </conditionalFormatting>
  <dataValidations count="8">
    <dataValidation type="custom" allowBlank="1" showInputMessage="1" showErrorMessage="1" errorTitle="Eingabefehler" error="Bitte geben Sie eine Uhrzeit ( hh:mm ) zwischen 0:00 und 23:59 ein. Bitte beachten Sie, dass eine Eingabe an Wochenenden sowie an Tagen mit dem Status &quot;bezahlt abwesend&quot; nicht möglich ist." sqref="F22:H52">
      <formula1>AND(ISNUMBER(F22),DAY($B22)&gt;0,NOT(AND($C22="BA",NOT($S$8))),NOT(AND(OR($A22="Sonntag",$A22="Samstag"),NOT($S$7))),F22&gt;=TIME(0,0,0),F22&lt;=TIME(23,59,59))</formula1>
    </dataValidation>
    <dataValidation type="list" showInputMessage="1" showErrorMessage="1" sqref="C22:C52">
      <formula1>Auswahlart</formula1>
    </dataValidation>
    <dataValidation type="list" allowBlank="1" showInputMessage="1" showErrorMessage="1" sqref="E17:F17">
      <formula1>$B$22:$B$52</formula1>
    </dataValidation>
    <dataValidation showInputMessage="1" showErrorMessage="1" sqref="G10:I10"/>
    <dataValidation type="decimal" allowBlank="1" showInputMessage="1" showErrorMessage="1" sqref="I16:M16 I12:M12">
      <formula1>$AA$35</formula1>
      <formula2>$AA$36</formula2>
    </dataValidation>
    <dataValidation type="decimal" allowBlank="1" showInputMessage="1" showErrorMessage="1" errorTitle="Eingabefehler" error="Bitte geben Sie eine positive Dezimalzahl ein." sqref="D22:D52">
      <formula1>0</formula1>
      <formula2>20</formula2>
    </dataValidation>
    <dataValidation type="decimal" allowBlank="1" showInputMessage="1" showErrorMessage="1" sqref="M7:O7">
      <formula1>-9999999</formula1>
      <formula2>9999999</formula2>
    </dataValidation>
    <dataValidation type="decimal" allowBlank="1" showInputMessage="1" showErrorMessage="1" sqref="F12 F16 I13:M13 I17:M17">
      <formula1>0</formula1>
      <formula2>45</formula2>
    </dataValidation>
  </dataValidations>
  <pageMargins left="0.43307086614173229" right="0.23622047244094491" top="0.89" bottom="0.54" header="0.4" footer="0.31496062992125984"/>
  <pageSetup paperSize="9" scale="65" orientation="portrait" r:id="rId1"/>
  <headerFooter differentFirst="1" alignWithMargins="0">
    <firstHeader>&amp;L&amp;G</firstHeader>
  </headerFooter>
  <drawing r:id="rId2"/>
  <legacyDrawing r:id="rId3"/>
  <legacyDrawingHF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
    <pageSetUpPr fitToPage="1"/>
  </sheetPr>
  <dimension ref="A1:IR80"/>
  <sheetViews>
    <sheetView showGridLines="0" showRowColHeaders="0" zoomScaleNormal="100" zoomScaleSheetLayoutView="55" workbookViewId="0">
      <selection activeCell="C28" sqref="C28"/>
    </sheetView>
  </sheetViews>
  <sheetFormatPr baseColWidth="10" defaultColWidth="6.25" defaultRowHeight="0" customHeight="1" zeroHeight="1"/>
  <cols>
    <col min="1" max="1" width="5" style="6" customWidth="1"/>
    <col min="2" max="2" width="11.25" style="57" customWidth="1"/>
    <col min="3" max="3" width="7.5" style="57" customWidth="1"/>
    <col min="4" max="8" width="7.75" style="57" customWidth="1"/>
    <col min="9" max="13" width="8.125" style="57" customWidth="1"/>
    <col min="14" max="14" width="7.5" style="57" customWidth="1"/>
    <col min="15" max="15" width="10" style="57" customWidth="1"/>
    <col min="16" max="16" width="7.5" style="24" customWidth="1"/>
    <col min="17" max="17" width="5" style="24" customWidth="1"/>
    <col min="18" max="18" width="10.125" style="6" customWidth="1"/>
    <col min="19" max="19" width="7.5" style="6" bestFit="1" customWidth="1"/>
    <col min="20" max="20" width="8.5" style="6" bestFit="1" customWidth="1"/>
    <col min="21" max="21" width="7.25" style="6" bestFit="1" customWidth="1"/>
    <col min="22" max="22" width="7.75" style="6" bestFit="1" customWidth="1"/>
    <col min="23" max="23" width="7.5" style="6" bestFit="1" customWidth="1"/>
    <col min="24" max="24" width="8.125" style="6" bestFit="1" customWidth="1"/>
    <col min="25" max="25" width="7.25" style="6" bestFit="1" customWidth="1"/>
    <col min="26" max="26" width="7.25" style="6" customWidth="1"/>
    <col min="27" max="27" width="10.5" style="68" customWidth="1"/>
    <col min="28" max="28" width="9.875" style="68" customWidth="1"/>
    <col min="29" max="29" width="11.125" style="6" customWidth="1"/>
    <col min="30" max="31" width="11.125" style="95" customWidth="1"/>
    <col min="32" max="34" width="6.25" style="96" customWidth="1"/>
    <col min="35" max="252" width="6.25" style="3" customWidth="1"/>
    <col min="253" max="16384" width="6.25" style="3"/>
  </cols>
  <sheetData>
    <row r="1" spans="1:34" ht="11.25" customHeight="1">
      <c r="A1" s="3"/>
      <c r="B1" s="92"/>
      <c r="C1" s="92"/>
      <c r="D1" s="92"/>
      <c r="E1" s="92"/>
      <c r="F1" s="92"/>
      <c r="G1" s="92"/>
      <c r="H1" s="92"/>
      <c r="I1" s="92"/>
      <c r="J1" s="92"/>
      <c r="K1" s="92"/>
      <c r="L1" s="92"/>
      <c r="M1" s="92"/>
      <c r="N1" s="92"/>
      <c r="O1" s="92"/>
      <c r="P1" s="8"/>
      <c r="Q1" s="154"/>
      <c r="R1" s="154"/>
      <c r="S1" s="69"/>
      <c r="T1" s="69"/>
      <c r="U1" s="69"/>
      <c r="V1" s="3"/>
      <c r="W1" s="3"/>
      <c r="X1" s="3"/>
      <c r="Y1" s="3"/>
      <c r="Z1" s="3"/>
      <c r="AA1" s="3"/>
      <c r="AB1" s="3"/>
      <c r="AC1" s="3"/>
      <c r="AD1" s="3"/>
      <c r="AE1" s="3"/>
      <c r="AF1" s="3"/>
      <c r="AG1" s="3"/>
      <c r="AH1" s="3"/>
    </row>
    <row r="2" spans="1:34" ht="18.75" customHeight="1">
      <c r="A2" s="3"/>
      <c r="B2" s="221" t="s">
        <v>9</v>
      </c>
      <c r="C2" s="221"/>
      <c r="D2" s="221"/>
      <c r="E2" s="221"/>
      <c r="F2" s="221"/>
      <c r="G2" s="221"/>
      <c r="H2" s="221"/>
      <c r="I2" s="221" t="s">
        <v>36</v>
      </c>
      <c r="J2" s="221"/>
      <c r="K2" s="278">
        <f>Übersicht!K2</f>
        <v>2017</v>
      </c>
      <c r="L2" s="278"/>
      <c r="M2" s="93"/>
      <c r="N2" s="93"/>
      <c r="O2" s="93"/>
      <c r="P2" s="94"/>
      <c r="Q2" s="154"/>
      <c r="R2" s="154"/>
      <c r="S2" s="69"/>
      <c r="T2" s="69"/>
      <c r="U2" s="69"/>
      <c r="V2" s="3"/>
      <c r="W2" s="3"/>
      <c r="X2" s="3"/>
      <c r="Y2" s="3"/>
      <c r="Z2" s="3"/>
      <c r="AA2" s="3"/>
      <c r="AB2" s="3"/>
      <c r="AC2" s="3"/>
      <c r="AD2" s="3"/>
      <c r="AE2" s="3"/>
      <c r="AF2" s="3"/>
      <c r="AG2" s="3"/>
      <c r="AH2" s="3"/>
    </row>
    <row r="3" spans="1:34" ht="11.25" customHeight="1">
      <c r="A3" s="3"/>
      <c r="B3" s="10"/>
      <c r="C3" s="10"/>
      <c r="D3" s="10"/>
      <c r="E3" s="10"/>
      <c r="F3" s="10"/>
      <c r="G3" s="10"/>
      <c r="H3" s="10"/>
      <c r="I3" s="10"/>
      <c r="J3" s="10"/>
      <c r="K3" s="10"/>
      <c r="L3" s="10"/>
      <c r="M3" s="10"/>
      <c r="N3" s="10"/>
      <c r="O3" s="10"/>
      <c r="P3" s="8"/>
      <c r="Q3" s="154"/>
      <c r="R3" s="154"/>
      <c r="S3" s="69"/>
      <c r="T3" s="69"/>
      <c r="U3" s="69"/>
      <c r="V3" s="3"/>
      <c r="W3" s="3"/>
      <c r="X3" s="3"/>
      <c r="Y3" s="3"/>
      <c r="Z3" s="3"/>
      <c r="AA3" s="3"/>
      <c r="AB3" s="3"/>
      <c r="AC3" s="3"/>
      <c r="AD3" s="3"/>
      <c r="AE3" s="3"/>
      <c r="AF3" s="3"/>
      <c r="AG3" s="3"/>
      <c r="AH3" s="3"/>
    </row>
    <row r="4" spans="1:34" ht="15" customHeight="1">
      <c r="A4" s="3"/>
      <c r="B4" s="11"/>
      <c r="C4" s="12"/>
      <c r="D4" s="12"/>
      <c r="E4" s="12"/>
      <c r="F4" s="12"/>
      <c r="G4" s="12"/>
      <c r="H4" s="12"/>
      <c r="I4" s="12"/>
      <c r="J4" s="12"/>
      <c r="K4" s="12"/>
      <c r="L4" s="12"/>
      <c r="M4" s="12"/>
      <c r="N4" s="12"/>
      <c r="O4" s="12"/>
      <c r="P4" s="13"/>
      <c r="Q4" s="154"/>
      <c r="R4" s="154"/>
      <c r="S4" s="69"/>
      <c r="T4" s="69"/>
      <c r="U4" s="69"/>
      <c r="V4" s="3"/>
      <c r="W4" s="3"/>
      <c r="X4" s="3"/>
      <c r="Y4" s="3"/>
      <c r="Z4" s="3"/>
      <c r="AA4" s="3"/>
      <c r="AB4" s="3"/>
      <c r="AC4" s="3"/>
      <c r="AD4" s="3"/>
      <c r="AE4" s="3"/>
      <c r="AF4" s="3"/>
      <c r="AG4" s="3"/>
      <c r="AH4" s="3"/>
    </row>
    <row r="5" spans="1:34" ht="22.5" customHeight="1">
      <c r="A5" s="3"/>
      <c r="B5" s="107"/>
      <c r="C5" s="25" t="s">
        <v>3</v>
      </c>
      <c r="D5" s="15"/>
      <c r="E5" s="258" t="str">
        <f>IF(Übersicht!E5&lt;&gt;"",Übersicht!E5,"")</f>
        <v>Jansen, David</v>
      </c>
      <c r="F5" s="259"/>
      <c r="G5" s="259"/>
      <c r="H5" s="260"/>
      <c r="I5" s="16"/>
      <c r="J5" s="25" t="s">
        <v>65</v>
      </c>
      <c r="K5" s="16"/>
      <c r="M5" s="261">
        <f>IF(Übersicht!M5&lt;&gt;"",Übersicht!M5,"")</f>
        <v>419510</v>
      </c>
      <c r="N5" s="262"/>
      <c r="O5" s="263"/>
      <c r="P5" s="17"/>
      <c r="Q5" s="155"/>
      <c r="R5" s="155"/>
      <c r="S5" s="68"/>
      <c r="T5" s="68"/>
      <c r="V5" s="3"/>
      <c r="W5" s="3"/>
      <c r="X5" s="3"/>
      <c r="Y5" s="3"/>
      <c r="Z5" s="3"/>
      <c r="AA5" s="3"/>
      <c r="AB5" s="3"/>
      <c r="AC5" s="3"/>
      <c r="AD5" s="3"/>
      <c r="AE5" s="3"/>
      <c r="AF5" s="3"/>
      <c r="AG5" s="3"/>
      <c r="AH5" s="3"/>
    </row>
    <row r="6" spans="1:34" ht="15">
      <c r="A6" s="3"/>
      <c r="B6" s="18"/>
      <c r="C6" s="19"/>
      <c r="D6" s="19"/>
      <c r="E6" s="19"/>
      <c r="F6" s="19"/>
      <c r="G6" s="20"/>
      <c r="H6" s="20"/>
      <c r="I6" s="16"/>
      <c r="J6" s="16"/>
      <c r="P6" s="23"/>
      <c r="Q6" s="156"/>
      <c r="R6" s="156"/>
      <c r="V6" s="3"/>
      <c r="W6" s="3"/>
      <c r="X6" s="3"/>
      <c r="Y6" s="3"/>
      <c r="Z6" s="3"/>
      <c r="AA6" s="3"/>
      <c r="AB6" s="3"/>
      <c r="AC6" s="3"/>
      <c r="AD6" s="3"/>
      <c r="AE6" s="3"/>
      <c r="AF6" s="3"/>
      <c r="AG6" s="3"/>
      <c r="AH6" s="3"/>
    </row>
    <row r="7" spans="1:34" ht="22.5" customHeight="1">
      <c r="A7" s="3"/>
      <c r="B7" s="107"/>
      <c r="C7" s="25" t="s">
        <v>7</v>
      </c>
      <c r="D7" s="16"/>
      <c r="E7" s="258" t="str">
        <f>IF(Übersicht!E7&lt;&gt;"",Übersicht!E7,"")</f>
        <v>Hiwi</v>
      </c>
      <c r="F7" s="259"/>
      <c r="G7" s="259"/>
      <c r="H7" s="260"/>
      <c r="I7" s="16"/>
      <c r="J7" s="25" t="s">
        <v>74</v>
      </c>
      <c r="K7" s="16"/>
      <c r="M7" s="272">
        <f>Juni!K54</f>
        <v>0.74999999999999645</v>
      </c>
      <c r="N7" s="285"/>
      <c r="O7" s="286"/>
      <c r="P7" s="23"/>
      <c r="Q7" s="156"/>
      <c r="R7" s="6" t="s">
        <v>81</v>
      </c>
      <c r="S7" s="211" t="b">
        <f>OR(IF(E7&gt;"",IF(MID(E7,LEN(E7)-1,2)="WE","WAHR",FALSE),FALSE),IF(E7&gt;"",IF(MID(E7,LEN(E7)-2,3)="WEF","WAHR",FALSE),FALSE))</f>
        <v>0</v>
      </c>
      <c r="V7" s="3"/>
      <c r="W7" s="3"/>
      <c r="X7" s="3"/>
      <c r="Y7" s="3"/>
      <c r="Z7" s="3"/>
      <c r="AA7" s="3"/>
      <c r="AB7" s="3"/>
      <c r="AC7" s="3"/>
      <c r="AD7" s="3"/>
      <c r="AE7" s="3"/>
      <c r="AF7" s="3"/>
      <c r="AG7" s="3"/>
      <c r="AH7" s="3"/>
    </row>
    <row r="8" spans="1:34" ht="22.5" customHeight="1">
      <c r="A8" s="3"/>
      <c r="B8" s="186"/>
      <c r="C8" s="187"/>
      <c r="D8" s="187"/>
      <c r="E8" s="187"/>
      <c r="F8" s="188"/>
      <c r="G8" s="189"/>
      <c r="H8" s="189"/>
      <c r="I8" s="189"/>
      <c r="J8" s="61"/>
      <c r="K8" s="61"/>
      <c r="L8" s="61"/>
      <c r="M8" s="61"/>
      <c r="N8" s="61"/>
      <c r="O8" s="61"/>
      <c r="P8" s="190"/>
      <c r="Q8" s="156"/>
      <c r="R8" s="6" t="s">
        <v>82</v>
      </c>
      <c r="S8" s="211" t="b">
        <f>IF(E7&gt;"",IF(MID(E7,LEN(E7)-2,3)="WEF","WAHR",FALSE),FALSE)</f>
        <v>0</v>
      </c>
      <c r="V8" s="3"/>
      <c r="W8" s="3"/>
      <c r="X8" s="3"/>
      <c r="Y8" s="3"/>
      <c r="Z8" s="3"/>
      <c r="AA8" s="3"/>
      <c r="AB8" s="3"/>
      <c r="AC8" s="3"/>
      <c r="AD8" s="3"/>
      <c r="AE8" s="3"/>
      <c r="AF8" s="3"/>
      <c r="AG8" s="3"/>
      <c r="AH8" s="3"/>
    </row>
    <row r="9" spans="1:34" ht="22.5" customHeight="1">
      <c r="A9" s="3"/>
      <c r="B9" s="107"/>
      <c r="C9" s="25" t="s">
        <v>73</v>
      </c>
      <c r="D9" s="16"/>
      <c r="E9" s="191" t="str">
        <f>IF(Übersicht!E11&lt;&gt;"",Übersicht!E11,"")</f>
        <v>Innogy Abwasser</v>
      </c>
      <c r="F9" s="192"/>
      <c r="G9" s="192"/>
      <c r="H9" s="192"/>
      <c r="I9" s="192"/>
      <c r="J9" s="192"/>
      <c r="K9" s="192"/>
      <c r="L9" s="192"/>
      <c r="M9" s="192"/>
      <c r="N9" s="192"/>
      <c r="O9" s="193"/>
      <c r="P9" s="23"/>
      <c r="Q9" s="156"/>
      <c r="R9" s="156"/>
      <c r="V9" s="3"/>
      <c r="W9" s="3"/>
      <c r="X9" s="3"/>
      <c r="Y9" s="3"/>
      <c r="Z9" s="3"/>
      <c r="AA9" s="3"/>
      <c r="AB9" s="3"/>
      <c r="AC9" s="3"/>
      <c r="AD9" s="3"/>
      <c r="AE9" s="3"/>
      <c r="AF9" s="3"/>
      <c r="AG9" s="3"/>
      <c r="AH9" s="3"/>
    </row>
    <row r="10" spans="1:34" ht="15">
      <c r="A10" s="3"/>
      <c r="B10" s="14"/>
      <c r="C10" s="25"/>
      <c r="D10" s="25"/>
      <c r="E10" s="25"/>
      <c r="F10" s="19"/>
      <c r="G10" s="26"/>
      <c r="H10" s="26"/>
      <c r="I10" s="26"/>
      <c r="P10" s="23"/>
      <c r="Q10" s="157"/>
      <c r="R10" s="157"/>
      <c r="S10" s="68"/>
      <c r="T10" s="68"/>
      <c r="U10" s="68"/>
      <c r="V10" s="3"/>
      <c r="W10" s="3"/>
      <c r="X10" s="3"/>
      <c r="Y10" s="3"/>
      <c r="Z10" s="3"/>
      <c r="AA10" s="3"/>
      <c r="AB10" s="3"/>
      <c r="AC10" s="3"/>
      <c r="AD10" s="3"/>
      <c r="AE10" s="3"/>
      <c r="AF10" s="3"/>
      <c r="AG10" s="3"/>
      <c r="AH10" s="3"/>
    </row>
    <row r="11" spans="1:34" ht="15" customHeight="1">
      <c r="A11" s="3"/>
      <c r="B11" s="112"/>
      <c r="C11" s="113"/>
      <c r="D11" s="114"/>
      <c r="E11" s="114"/>
      <c r="F11" s="115"/>
      <c r="G11" s="115"/>
      <c r="H11" s="116" t="s">
        <v>42</v>
      </c>
      <c r="I11" s="117" t="s">
        <v>12</v>
      </c>
      <c r="J11" s="118" t="s">
        <v>13</v>
      </c>
      <c r="K11" s="119" t="s">
        <v>14</v>
      </c>
      <c r="L11" s="117" t="s">
        <v>15</v>
      </c>
      <c r="M11" s="117" t="s">
        <v>16</v>
      </c>
      <c r="N11" s="120"/>
      <c r="O11" s="150"/>
      <c r="P11" s="23"/>
      <c r="Q11" s="156"/>
      <c r="R11" s="156"/>
      <c r="V11" s="3"/>
      <c r="W11" s="3"/>
      <c r="X11" s="3"/>
      <c r="Y11" s="3"/>
      <c r="Z11" s="3"/>
      <c r="AA11" s="3"/>
      <c r="AB11" s="3"/>
      <c r="AC11" s="3"/>
      <c r="AD11" s="3"/>
      <c r="AE11" s="3"/>
      <c r="AF11" s="3"/>
      <c r="AG11" s="3"/>
      <c r="AH11" s="3"/>
    </row>
    <row r="12" spans="1:34" ht="22.5" customHeight="1">
      <c r="A12" s="3"/>
      <c r="B12" s="112"/>
      <c r="C12" s="14" t="s">
        <v>30</v>
      </c>
      <c r="D12" s="21"/>
      <c r="E12" s="22"/>
      <c r="F12" s="152">
        <f>IF(Juni!F16&gt;0,Juni!F16,Juni!F12)</f>
        <v>10</v>
      </c>
      <c r="G12" s="92"/>
      <c r="H12" s="121" t="s">
        <v>43</v>
      </c>
      <c r="I12" s="122">
        <f>$F$12/5</f>
        <v>2</v>
      </c>
      <c r="J12" s="123">
        <f>$F$12/5</f>
        <v>2</v>
      </c>
      <c r="K12" s="123">
        <f>$F$12/5</f>
        <v>2</v>
      </c>
      <c r="L12" s="123">
        <f>$F$12/5</f>
        <v>2</v>
      </c>
      <c r="M12" s="124">
        <f>$F$12/5</f>
        <v>2</v>
      </c>
      <c r="N12" s="125" t="s">
        <v>45</v>
      </c>
      <c r="O12" s="150"/>
      <c r="P12" s="23"/>
      <c r="Q12" s="156"/>
      <c r="R12" s="156"/>
      <c r="V12" s="3"/>
      <c r="W12" s="3"/>
      <c r="X12" s="3"/>
      <c r="Y12" s="3"/>
      <c r="Z12" s="3"/>
      <c r="AA12" s="3"/>
      <c r="AB12" s="3"/>
      <c r="AC12" s="3"/>
      <c r="AD12" s="3"/>
      <c r="AE12" s="3"/>
      <c r="AF12" s="3"/>
      <c r="AG12" s="3"/>
      <c r="AH12" s="3"/>
    </row>
    <row r="13" spans="1:34" ht="22.5" customHeight="1">
      <c r="A13" s="3"/>
      <c r="B13" s="112"/>
      <c r="C13" s="126"/>
      <c r="D13" s="151"/>
      <c r="E13" s="151"/>
      <c r="F13" s="127"/>
      <c r="G13" s="127"/>
      <c r="H13" s="128" t="s">
        <v>44</v>
      </c>
      <c r="I13" s="108"/>
      <c r="J13" s="109"/>
      <c r="K13" s="109"/>
      <c r="L13" s="109"/>
      <c r="M13" s="110"/>
      <c r="N13" s="88">
        <f>SUM(I13:M13)</f>
        <v>0</v>
      </c>
      <c r="O13" s="150"/>
      <c r="P13" s="23"/>
      <c r="Q13" s="156"/>
      <c r="R13" s="156"/>
      <c r="V13" s="3"/>
      <c r="W13" s="3"/>
      <c r="X13" s="3"/>
      <c r="Y13" s="3"/>
      <c r="Z13" s="3"/>
      <c r="AA13" s="3"/>
      <c r="AB13" s="3"/>
      <c r="AC13" s="3"/>
      <c r="AD13" s="3"/>
      <c r="AE13" s="3"/>
      <c r="AF13" s="3"/>
      <c r="AG13" s="3"/>
      <c r="AH13" s="3"/>
    </row>
    <row r="14" spans="1:34" ht="18.75" customHeight="1">
      <c r="A14" s="3"/>
      <c r="B14" s="112"/>
      <c r="C14" s="149" t="s">
        <v>80</v>
      </c>
      <c r="D14" s="25"/>
      <c r="E14" s="27"/>
      <c r="F14" s="7"/>
      <c r="G14" s="7"/>
      <c r="O14" s="150"/>
      <c r="P14" s="23"/>
      <c r="Q14" s="156"/>
      <c r="R14" s="156"/>
      <c r="V14" s="3"/>
      <c r="W14" s="3"/>
      <c r="X14" s="3"/>
      <c r="Y14" s="3"/>
      <c r="Z14" s="3"/>
      <c r="AA14" s="3"/>
      <c r="AB14" s="3"/>
      <c r="AC14" s="3"/>
      <c r="AD14" s="3"/>
      <c r="AE14" s="3"/>
      <c r="AF14" s="3"/>
      <c r="AG14" s="3"/>
      <c r="AH14" s="3"/>
    </row>
    <row r="15" spans="1:34" ht="15" customHeight="1">
      <c r="A15" s="3"/>
      <c r="B15" s="112"/>
      <c r="C15" s="111"/>
      <c r="D15" s="129"/>
      <c r="E15" s="130"/>
      <c r="F15" s="130"/>
      <c r="G15" s="131"/>
      <c r="H15" s="132" t="s">
        <v>49</v>
      </c>
      <c r="I15" s="133" t="s">
        <v>12</v>
      </c>
      <c r="J15" s="134" t="s">
        <v>13</v>
      </c>
      <c r="K15" s="135" t="s">
        <v>14</v>
      </c>
      <c r="L15" s="133" t="s">
        <v>15</v>
      </c>
      <c r="M15" s="133" t="s">
        <v>16</v>
      </c>
      <c r="N15" s="136"/>
      <c r="O15" s="150"/>
      <c r="P15" s="23"/>
      <c r="Q15" s="156"/>
      <c r="R15" s="156"/>
      <c r="V15" s="3"/>
      <c r="W15" s="3"/>
      <c r="X15" s="3"/>
      <c r="Y15" s="3"/>
      <c r="Z15" s="3"/>
      <c r="AA15" s="3"/>
      <c r="AB15" s="3"/>
      <c r="AC15" s="3"/>
      <c r="AD15" s="3"/>
      <c r="AE15" s="3"/>
      <c r="AF15" s="3"/>
      <c r="AG15" s="3"/>
      <c r="AH15" s="3"/>
    </row>
    <row r="16" spans="1:34" ht="23.25" customHeight="1">
      <c r="A16" s="3"/>
      <c r="B16" s="112"/>
      <c r="C16" s="147" t="s">
        <v>48</v>
      </c>
      <c r="D16" s="148"/>
      <c r="E16" s="148"/>
      <c r="F16" s="152"/>
      <c r="G16" s="137"/>
      <c r="H16" s="138" t="s">
        <v>43</v>
      </c>
      <c r="I16" s="139">
        <f>$F$16/5</f>
        <v>0</v>
      </c>
      <c r="J16" s="140">
        <f>$F$16/5</f>
        <v>0</v>
      </c>
      <c r="K16" s="140">
        <f>$F$16/5</f>
        <v>0</v>
      </c>
      <c r="L16" s="140">
        <f>$F$16/5</f>
        <v>0</v>
      </c>
      <c r="M16" s="141">
        <f>$F$16/5</f>
        <v>0</v>
      </c>
      <c r="N16" s="142" t="s">
        <v>45</v>
      </c>
      <c r="O16" s="150"/>
      <c r="P16" s="23"/>
      <c r="Q16" s="156"/>
      <c r="R16" s="156"/>
      <c r="V16" s="3"/>
      <c r="W16" s="3"/>
      <c r="X16" s="3"/>
      <c r="Y16" s="3"/>
      <c r="Z16" s="3"/>
      <c r="AA16" s="3"/>
      <c r="AB16" s="3"/>
      <c r="AC16" s="3"/>
      <c r="AD16" s="3"/>
      <c r="AE16" s="3"/>
      <c r="AF16" s="3"/>
      <c r="AG16" s="3"/>
      <c r="AH16" s="3"/>
    </row>
    <row r="17" spans="1:252" ht="22.5" customHeight="1">
      <c r="A17" s="3"/>
      <c r="B17" s="112"/>
      <c r="C17" s="143" t="s">
        <v>47</v>
      </c>
      <c r="D17" s="144"/>
      <c r="E17" s="279"/>
      <c r="F17" s="279"/>
      <c r="G17" s="153" t="b">
        <f>IF($E$17&lt;&gt;0,TRUE(),FALSE())</f>
        <v>0</v>
      </c>
      <c r="H17" s="145" t="s">
        <v>44</v>
      </c>
      <c r="I17" s="108"/>
      <c r="J17" s="109"/>
      <c r="K17" s="109"/>
      <c r="L17" s="109"/>
      <c r="M17" s="110"/>
      <c r="N17" s="146">
        <f>SUM(I17:M17)</f>
        <v>0</v>
      </c>
      <c r="O17" s="150"/>
      <c r="P17" s="23"/>
      <c r="Q17" s="156"/>
      <c r="R17" s="156"/>
      <c r="V17" s="3"/>
      <c r="W17" s="3"/>
      <c r="X17" s="3"/>
      <c r="Y17" s="3"/>
      <c r="Z17" s="3"/>
      <c r="AA17" s="3"/>
      <c r="AB17" s="3"/>
      <c r="AC17" s="3"/>
      <c r="AD17" s="3"/>
      <c r="AE17" s="3"/>
      <c r="AF17" s="3"/>
      <c r="AG17" s="3"/>
      <c r="AH17" s="3"/>
    </row>
    <row r="18" spans="1:252" ht="15">
      <c r="A18" s="3"/>
      <c r="B18" s="85"/>
      <c r="C18" s="86"/>
      <c r="D18" s="87"/>
      <c r="E18" s="87"/>
      <c r="F18" s="87"/>
      <c r="G18" s="87"/>
      <c r="H18" s="87"/>
      <c r="I18" s="87"/>
      <c r="J18" s="87"/>
      <c r="K18" s="9"/>
      <c r="L18" s="9"/>
      <c r="M18" s="9"/>
      <c r="N18" s="9"/>
      <c r="O18" s="9"/>
      <c r="P18" s="28"/>
      <c r="Q18" s="156"/>
      <c r="R18" s="156"/>
      <c r="V18" s="3"/>
      <c r="W18" s="3"/>
      <c r="X18" s="3"/>
      <c r="Y18" s="3"/>
      <c r="Z18" s="3"/>
      <c r="AA18" s="3"/>
      <c r="AB18" s="3"/>
      <c r="AC18" s="3"/>
      <c r="AD18" s="3"/>
      <c r="AE18" s="3"/>
      <c r="AF18" s="3"/>
      <c r="AG18" s="3"/>
      <c r="AH18" s="3"/>
    </row>
    <row r="19" spans="1:252" ht="15.75" thickBot="1">
      <c r="A19" s="29"/>
      <c r="B19" s="164"/>
      <c r="C19" s="68"/>
      <c r="D19" s="68"/>
      <c r="E19" s="68"/>
      <c r="F19" s="68"/>
      <c r="G19" s="68"/>
      <c r="H19" s="68"/>
      <c r="I19" s="68"/>
      <c r="J19" s="68"/>
      <c r="K19" s="68"/>
      <c r="L19" s="68"/>
      <c r="M19" s="68"/>
      <c r="N19" s="68"/>
      <c r="O19" s="68"/>
      <c r="P19" s="68"/>
      <c r="Q19" s="157"/>
      <c r="R19" s="157"/>
      <c r="S19" s="68"/>
      <c r="T19" s="68"/>
      <c r="U19" s="68"/>
    </row>
    <row r="20" spans="1:252" s="4" customFormat="1" ht="18.75" customHeight="1">
      <c r="A20" s="30"/>
      <c r="B20" s="202"/>
      <c r="C20" s="264" t="s">
        <v>29</v>
      </c>
      <c r="D20" s="265"/>
      <c r="E20" s="265"/>
      <c r="F20" s="266" t="s">
        <v>67</v>
      </c>
      <c r="G20" s="267"/>
      <c r="H20" s="268"/>
      <c r="I20" s="269" t="s">
        <v>25</v>
      </c>
      <c r="J20" s="269"/>
      <c r="K20" s="270"/>
      <c r="L20" s="271"/>
      <c r="M20" s="269"/>
      <c r="N20" s="269"/>
      <c r="O20" s="269"/>
      <c r="P20" s="270"/>
      <c r="Q20" s="158"/>
      <c r="R20" s="158"/>
      <c r="S20" s="70" t="s">
        <v>22</v>
      </c>
      <c r="T20" s="70" t="s">
        <v>23</v>
      </c>
      <c r="U20" s="70" t="s">
        <v>23</v>
      </c>
      <c r="V20" s="71" t="s">
        <v>24</v>
      </c>
      <c r="W20" s="71" t="s">
        <v>22</v>
      </c>
      <c r="X20" s="71" t="s">
        <v>22</v>
      </c>
      <c r="Y20" s="71"/>
      <c r="Z20" s="71"/>
      <c r="AA20" s="70"/>
      <c r="AB20" s="70"/>
      <c r="AC20" s="71"/>
      <c r="AD20" s="97"/>
      <c r="AE20" s="97"/>
      <c r="AF20" s="98"/>
      <c r="AG20" s="98"/>
      <c r="AH20" s="98"/>
    </row>
    <row r="21" spans="1:252" ht="18.75" customHeight="1">
      <c r="A21" s="31">
        <f>DATEVALUE(I2&amp;K2)</f>
        <v>42917</v>
      </c>
      <c r="B21" s="203" t="s">
        <v>0</v>
      </c>
      <c r="C21" s="1" t="s">
        <v>8</v>
      </c>
      <c r="D21" s="5"/>
      <c r="E21" s="204" t="s">
        <v>18</v>
      </c>
      <c r="F21" s="173" t="s">
        <v>1</v>
      </c>
      <c r="G21" s="174" t="s">
        <v>6</v>
      </c>
      <c r="H21" s="175" t="s">
        <v>2</v>
      </c>
      <c r="I21" s="204" t="s">
        <v>17</v>
      </c>
      <c r="J21" s="2" t="s">
        <v>21</v>
      </c>
      <c r="K21" s="204" t="s">
        <v>19</v>
      </c>
      <c r="L21" s="275" t="s">
        <v>71</v>
      </c>
      <c r="M21" s="276"/>
      <c r="N21" s="276"/>
      <c r="O21" s="276"/>
      <c r="P21" s="277"/>
      <c r="Q21" s="159"/>
      <c r="R21" s="159"/>
      <c r="S21" s="72" t="s">
        <v>11</v>
      </c>
      <c r="T21" s="72" t="s">
        <v>1</v>
      </c>
      <c r="U21" s="72" t="s">
        <v>6</v>
      </c>
      <c r="V21" s="73" t="s">
        <v>2</v>
      </c>
      <c r="W21" s="73" t="s">
        <v>20</v>
      </c>
      <c r="X21" s="74" t="s">
        <v>21</v>
      </c>
      <c r="Y21" s="73" t="s">
        <v>19</v>
      </c>
      <c r="Z21" s="75"/>
    </row>
    <row r="22" spans="1:252" ht="20.25" customHeight="1">
      <c r="A22" s="32" t="str">
        <f t="shared" ref="A22:A52" si="0">TEXT(B22,"TTTT")</f>
        <v>Samstag</v>
      </c>
      <c r="B22" s="33">
        <f>($A$21+ROW(B1)-1)*(MONTH($A$21+1)=MONTH($A$21))</f>
        <v>42917</v>
      </c>
      <c r="C22" s="185" t="str">
        <f>IF(OR(A22="Samstag",A22="Sonntag"),"",IF(COUNTIF(Übersicht!C$16:C$30,B22)&gt;0,"BA",""))</f>
        <v/>
      </c>
      <c r="D22" s="34"/>
      <c r="E22" s="172" t="str">
        <f>IF(OR(A22="Samstag",A22="Sonntag",C22="BA"),"",
IF(C22="SV",D22,
IF(OR($E$17="",B22&lt;$E$17),IF($N$13=0,HLOOKUP($A22,$I$11:$M$12,2,FALSE),IF($N$13=$F$12,HLOOKUP($A22,$I$11:$M$13,3,FALSE),"FEHLER")),
IF($N$17=0,HLOOKUP($A22,$I$15:$M$16,2,FALSE),IF($N$17=$F$16,HLOOKUP($A22,$I$15:$M$17,3,FALSE),"FEHLER")))))</f>
        <v/>
      </c>
      <c r="F22" s="195"/>
      <c r="G22" s="196"/>
      <c r="H22" s="197"/>
      <c r="I22" s="38">
        <f t="shared" ref="I22:I52" si="1">IF(OR(C22="K",C22="U",C22="F"),E22,IF(C22="SU",IF(H22="",D22,((H22-F22)-G22)+D22),IF(AND(H22="",E22=""),0,((H22-F22)-G22)*24)))</f>
        <v>0</v>
      </c>
      <c r="J22" s="35">
        <f>IF(E22="Fehler",0,IF(E22="",I22,I22-E22))</f>
        <v>0</v>
      </c>
      <c r="K22" s="36">
        <f>M7+J22</f>
        <v>0.74999999999999645</v>
      </c>
      <c r="L22" s="251"/>
      <c r="M22" s="252"/>
      <c r="N22" s="252"/>
      <c r="O22" s="252"/>
      <c r="P22" s="253"/>
      <c r="Q22" s="89"/>
      <c r="R22" s="165"/>
      <c r="S22" s="76"/>
      <c r="T22" s="76"/>
      <c r="U22" s="76"/>
      <c r="V22" s="76"/>
      <c r="W22" s="76"/>
      <c r="X22" s="76"/>
      <c r="Y22" s="76"/>
      <c r="Z22" s="76"/>
      <c r="AB22" s="166"/>
      <c r="AE22" s="99"/>
    </row>
    <row r="23" spans="1:252" s="96" customFormat="1" ht="20.25" customHeight="1">
      <c r="A23" s="32" t="str">
        <f t="shared" si="0"/>
        <v>Sonntag</v>
      </c>
      <c r="B23" s="37">
        <f t="shared" ref="B23:B52" si="2">($A$21+ROW(B2)-1)*(MONTH(B22+1)=MONTH($A$21))</f>
        <v>42918</v>
      </c>
      <c r="C23" s="185" t="str">
        <f>IF(OR(A23="Samstag",A23="Sonntag"),"",IF(COUNTIF(Übersicht!C$16:C$30,B23)&gt;0,"BA",""))</f>
        <v/>
      </c>
      <c r="D23" s="38"/>
      <c r="E23" s="172" t="str">
        <f>IF(OR(A23="Samstag",A23="Sonntag",C23="BA"),"",
IF(C23="SV",D23,
IF(OR($E$17="",B23&lt;$E$17),IF($N$13=0,HLOOKUP($A23,$I$11:$M$12,2,FALSE),IF($N$13=$F$12,HLOOKUP($A23,$I$11:$M$13,3,FALSE),"FEHLER")),
IF($N$17=0,HLOOKUP($A23,$I$15:$M$16,2,FALSE),IF($N$17=$F$16,HLOOKUP($A23,$I$15:$M$17,3,FALSE),"FEHLER")))))</f>
        <v/>
      </c>
      <c r="F23" s="176"/>
      <c r="G23" s="177"/>
      <c r="H23" s="178"/>
      <c r="I23" s="38">
        <f t="shared" si="1"/>
        <v>0</v>
      </c>
      <c r="J23" s="35">
        <f t="shared" ref="J23:J52" si="3">IF(E23="Fehler",0,IF(E23="",I23,I23-E23))</f>
        <v>0</v>
      </c>
      <c r="K23" s="36">
        <f>SUM(K22,J23)</f>
        <v>0.74999999999999645</v>
      </c>
      <c r="L23" s="251"/>
      <c r="M23" s="252"/>
      <c r="N23" s="252"/>
      <c r="O23" s="252"/>
      <c r="P23" s="253"/>
      <c r="Q23" s="89"/>
      <c r="R23" s="165"/>
      <c r="S23" s="76"/>
      <c r="T23" s="76"/>
      <c r="U23" s="76"/>
      <c r="V23" s="76"/>
      <c r="W23" s="76"/>
      <c r="X23" s="76"/>
      <c r="Y23" s="76"/>
      <c r="Z23" s="76"/>
      <c r="AA23" s="68"/>
      <c r="AB23" s="166"/>
      <c r="AC23" s="6"/>
      <c r="AD23" s="95"/>
      <c r="AE23" s="99"/>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row>
    <row r="24" spans="1:252" s="96" customFormat="1" ht="20.25" customHeight="1">
      <c r="A24" s="32" t="str">
        <f t="shared" si="0"/>
        <v>Montag</v>
      </c>
      <c r="B24" s="37">
        <f t="shared" si="2"/>
        <v>42919</v>
      </c>
      <c r="C24" s="185" t="str">
        <f>IF(OR(A24="Samstag",A24="Sonntag"),"",IF(COUNTIF(Übersicht!C$16:C$30,B24)&gt;0,"BA",""))</f>
        <v/>
      </c>
      <c r="D24" s="38"/>
      <c r="E24" s="172">
        <f t="shared" ref="E24:E52" si="4">IF(OR(A24="Samstag",A24="Sonntag",C24="BA"),"",
IF(C24="SV",D24,
IF(OR($E$17="",B24&lt;$E$17),IF($N$13=0,HLOOKUP($A24,$I$11:$M$12,2,FALSE),IF($N$13=$F$12,HLOOKUP($A24,$I$11:$M$13,3,FALSE),"FEHLER")),
IF($N$17=0,HLOOKUP($A24,$I$15:$M$16,2,FALSE),IF($N$17=$F$16,HLOOKUP($A24,$I$15:$M$17,3,FALSE),"FEHLER")))))</f>
        <v>2</v>
      </c>
      <c r="F24" s="176"/>
      <c r="G24" s="177"/>
      <c r="H24" s="178"/>
      <c r="I24" s="38">
        <f t="shared" si="1"/>
        <v>0</v>
      </c>
      <c r="J24" s="35">
        <f t="shared" si="3"/>
        <v>-2</v>
      </c>
      <c r="K24" s="36">
        <f t="shared" ref="K24:K52" si="5">SUM(K23,J24)</f>
        <v>-1.2500000000000036</v>
      </c>
      <c r="L24" s="251"/>
      <c r="M24" s="252"/>
      <c r="N24" s="252"/>
      <c r="O24" s="252"/>
      <c r="P24" s="253"/>
      <c r="Q24" s="89"/>
      <c r="R24" s="165"/>
      <c r="S24" s="76"/>
      <c r="T24" s="76"/>
      <c r="U24" s="76"/>
      <c r="V24" s="76"/>
      <c r="W24" s="76"/>
      <c r="X24" s="76"/>
      <c r="Y24" s="76"/>
      <c r="Z24" s="76"/>
      <c r="AA24" s="68"/>
      <c r="AB24" s="166"/>
      <c r="AC24" s="6"/>
      <c r="AD24" s="95"/>
      <c r="AE24" s="99"/>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row>
    <row r="25" spans="1:252" s="96" customFormat="1" ht="20.25" customHeight="1">
      <c r="A25" s="32" t="str">
        <f t="shared" si="0"/>
        <v>Dienstag</v>
      </c>
      <c r="B25" s="37">
        <f t="shared" si="2"/>
        <v>42920</v>
      </c>
      <c r="C25" s="185" t="str">
        <f>IF(OR(A25="Samstag",A25="Sonntag"),"",IF(COUNTIF(Übersicht!C$16:C$30,B25)&gt;0,"BA",""))</f>
        <v/>
      </c>
      <c r="D25" s="38"/>
      <c r="E25" s="172">
        <f t="shared" si="4"/>
        <v>2</v>
      </c>
      <c r="F25" s="176"/>
      <c r="G25" s="177"/>
      <c r="H25" s="178"/>
      <c r="I25" s="38">
        <f t="shared" si="1"/>
        <v>0</v>
      </c>
      <c r="J25" s="35">
        <f t="shared" si="3"/>
        <v>-2</v>
      </c>
      <c r="K25" s="36">
        <f t="shared" si="5"/>
        <v>-3.2500000000000036</v>
      </c>
      <c r="L25" s="251"/>
      <c r="M25" s="252"/>
      <c r="N25" s="252"/>
      <c r="O25" s="252"/>
      <c r="P25" s="253"/>
      <c r="Q25" s="89"/>
      <c r="R25" s="165"/>
      <c r="S25" s="76"/>
      <c r="T25" s="76"/>
      <c r="U25" s="76"/>
      <c r="V25" s="76"/>
      <c r="W25" s="76"/>
      <c r="X25" s="76"/>
      <c r="Y25" s="76"/>
      <c r="Z25" s="76"/>
      <c r="AA25" s="68"/>
      <c r="AB25" s="166"/>
      <c r="AC25" s="6"/>
      <c r="AD25" s="95"/>
      <c r="AE25" s="99"/>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row>
    <row r="26" spans="1:252" s="96" customFormat="1" ht="20.25" customHeight="1">
      <c r="A26" s="32" t="str">
        <f t="shared" si="0"/>
        <v>Mittwoch</v>
      </c>
      <c r="B26" s="37">
        <f t="shared" si="2"/>
        <v>42921</v>
      </c>
      <c r="C26" s="185" t="str">
        <f>IF(OR(A26="Samstag",A26="Sonntag"),"",IF(COUNTIF(Übersicht!C$16:C$30,B26)&gt;0,"BA",""))</f>
        <v/>
      </c>
      <c r="D26" s="38"/>
      <c r="E26" s="172">
        <f t="shared" si="4"/>
        <v>2</v>
      </c>
      <c r="F26" s="176"/>
      <c r="G26" s="177"/>
      <c r="H26" s="178"/>
      <c r="I26" s="38">
        <f t="shared" si="1"/>
        <v>0</v>
      </c>
      <c r="J26" s="35">
        <f t="shared" si="3"/>
        <v>-2</v>
      </c>
      <c r="K26" s="36">
        <f t="shared" si="5"/>
        <v>-5.2500000000000036</v>
      </c>
      <c r="L26" s="251"/>
      <c r="M26" s="252"/>
      <c r="N26" s="252"/>
      <c r="O26" s="252"/>
      <c r="P26" s="253"/>
      <c r="Q26" s="89"/>
      <c r="R26" s="165"/>
      <c r="S26" s="76"/>
      <c r="T26" s="76"/>
      <c r="U26" s="76"/>
      <c r="V26" s="76"/>
      <c r="W26" s="76"/>
      <c r="X26" s="76"/>
      <c r="Y26" s="76"/>
      <c r="Z26" s="76"/>
      <c r="AA26" s="68"/>
      <c r="AB26" s="166"/>
      <c r="AC26" s="6"/>
      <c r="AD26" s="95"/>
      <c r="AE26" s="99"/>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row>
    <row r="27" spans="1:252" s="96" customFormat="1" ht="20.25" customHeight="1">
      <c r="A27" s="32" t="str">
        <f t="shared" si="0"/>
        <v>Donnerstag</v>
      </c>
      <c r="B27" s="37">
        <f t="shared" si="2"/>
        <v>42922</v>
      </c>
      <c r="C27" s="185" t="str">
        <f>IF(OR(A27="Samstag",A27="Sonntag"),"",IF(COUNTIF(Übersicht!C$16:C$30,B27)&gt;0,"BA",""))</f>
        <v/>
      </c>
      <c r="D27" s="38"/>
      <c r="E27" s="172">
        <f t="shared" si="4"/>
        <v>2</v>
      </c>
      <c r="F27" s="176"/>
      <c r="G27" s="177"/>
      <c r="H27" s="178"/>
      <c r="I27" s="38">
        <f t="shared" si="1"/>
        <v>0</v>
      </c>
      <c r="J27" s="35">
        <f t="shared" si="3"/>
        <v>-2</v>
      </c>
      <c r="K27" s="36">
        <f>SUM(K26,J27)</f>
        <v>-7.2500000000000036</v>
      </c>
      <c r="L27" s="251"/>
      <c r="M27" s="252"/>
      <c r="N27" s="252"/>
      <c r="O27" s="252"/>
      <c r="P27" s="253"/>
      <c r="Q27" s="89"/>
      <c r="R27" s="165"/>
      <c r="S27" s="76"/>
      <c r="T27" s="76"/>
      <c r="U27" s="76"/>
      <c r="V27" s="76"/>
      <c r="W27" s="76"/>
      <c r="X27" s="76"/>
      <c r="Y27" s="76"/>
      <c r="Z27" s="76"/>
      <c r="AA27" s="68"/>
      <c r="AB27" s="166"/>
      <c r="AC27" s="6"/>
      <c r="AD27" s="95"/>
      <c r="AE27" s="99"/>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row>
    <row r="28" spans="1:252" s="96" customFormat="1" ht="20.25" customHeight="1">
      <c r="A28" s="32" t="str">
        <f t="shared" si="0"/>
        <v>Freitag</v>
      </c>
      <c r="B28" s="37">
        <f t="shared" si="2"/>
        <v>42923</v>
      </c>
      <c r="C28" s="185" t="str">
        <f>IF(OR(A28="Samstag",A28="Sonntag"),"",IF(COUNTIF(Übersicht!C$16:C$30,B28)&gt;0,"BA",""))</f>
        <v/>
      </c>
      <c r="D28" s="38"/>
      <c r="E28" s="172">
        <f t="shared" si="4"/>
        <v>2</v>
      </c>
      <c r="F28" s="176"/>
      <c r="G28" s="177"/>
      <c r="H28" s="178"/>
      <c r="I28" s="38">
        <f t="shared" si="1"/>
        <v>0</v>
      </c>
      <c r="J28" s="35">
        <f t="shared" si="3"/>
        <v>-2</v>
      </c>
      <c r="K28" s="36">
        <f t="shared" si="5"/>
        <v>-9.2500000000000036</v>
      </c>
      <c r="L28" s="251"/>
      <c r="M28" s="252"/>
      <c r="N28" s="252"/>
      <c r="O28" s="252"/>
      <c r="P28" s="253"/>
      <c r="Q28" s="89"/>
      <c r="R28" s="165"/>
      <c r="S28" s="76"/>
      <c r="T28" s="76"/>
      <c r="U28" s="76"/>
      <c r="V28" s="76"/>
      <c r="W28" s="76"/>
      <c r="X28" s="76"/>
      <c r="Y28" s="76"/>
      <c r="Z28" s="76"/>
      <c r="AA28" s="68"/>
      <c r="AB28" s="166"/>
      <c r="AC28" s="6"/>
      <c r="AD28" s="95"/>
      <c r="AE28" s="99"/>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row>
    <row r="29" spans="1:252" s="96" customFormat="1" ht="20.25" customHeight="1">
      <c r="A29" s="32" t="str">
        <f t="shared" si="0"/>
        <v>Samstag</v>
      </c>
      <c r="B29" s="37">
        <f t="shared" si="2"/>
        <v>42924</v>
      </c>
      <c r="C29" s="185" t="str">
        <f>IF(OR(A29="Samstag",A29="Sonntag"),"",IF(COUNTIF(Übersicht!C$16:C$30,B29)&gt;0,"BA",""))</f>
        <v/>
      </c>
      <c r="D29" s="38"/>
      <c r="E29" s="172" t="str">
        <f t="shared" si="4"/>
        <v/>
      </c>
      <c r="F29" s="176"/>
      <c r="G29" s="177"/>
      <c r="H29" s="178"/>
      <c r="I29" s="38">
        <f t="shared" si="1"/>
        <v>0</v>
      </c>
      <c r="J29" s="35">
        <f t="shared" si="3"/>
        <v>0</v>
      </c>
      <c r="K29" s="36">
        <f t="shared" si="5"/>
        <v>-9.2500000000000036</v>
      </c>
      <c r="L29" s="251"/>
      <c r="M29" s="252"/>
      <c r="N29" s="252"/>
      <c r="O29" s="252"/>
      <c r="P29" s="253"/>
      <c r="Q29" s="89"/>
      <c r="R29" s="165"/>
      <c r="S29" s="76"/>
      <c r="T29" s="76"/>
      <c r="U29" s="76"/>
      <c r="V29" s="76"/>
      <c r="W29" s="76"/>
      <c r="X29" s="76"/>
      <c r="Y29" s="76"/>
      <c r="Z29" s="76"/>
      <c r="AA29" s="68"/>
      <c r="AB29" s="166"/>
      <c r="AC29" s="6"/>
      <c r="AD29" s="95"/>
      <c r="AE29" s="99"/>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row>
    <row r="30" spans="1:252" s="96" customFormat="1" ht="20.25" customHeight="1">
      <c r="A30" s="32" t="str">
        <f t="shared" si="0"/>
        <v>Sonntag</v>
      </c>
      <c r="B30" s="37">
        <f t="shared" si="2"/>
        <v>42925</v>
      </c>
      <c r="C30" s="185" t="str">
        <f>IF(OR(A30="Samstag",A30="Sonntag"),"",IF(COUNTIF(Übersicht!C$16:C$30,B30)&gt;0,"BA",""))</f>
        <v/>
      </c>
      <c r="D30" s="38"/>
      <c r="E30" s="172" t="str">
        <f t="shared" si="4"/>
        <v/>
      </c>
      <c r="F30" s="176"/>
      <c r="G30" s="177"/>
      <c r="H30" s="178"/>
      <c r="I30" s="38">
        <f t="shared" si="1"/>
        <v>0</v>
      </c>
      <c r="J30" s="35">
        <f t="shared" si="3"/>
        <v>0</v>
      </c>
      <c r="K30" s="36">
        <f t="shared" si="5"/>
        <v>-9.2500000000000036</v>
      </c>
      <c r="L30" s="251"/>
      <c r="M30" s="252"/>
      <c r="N30" s="252"/>
      <c r="O30" s="252"/>
      <c r="P30" s="253"/>
      <c r="Q30" s="89"/>
      <c r="R30" s="165"/>
      <c r="S30" s="76"/>
      <c r="T30" s="76"/>
      <c r="U30" s="76"/>
      <c r="V30" s="76"/>
      <c r="W30" s="76"/>
      <c r="X30" s="76"/>
      <c r="Y30" s="76"/>
      <c r="Z30" s="76"/>
      <c r="AA30" s="68"/>
      <c r="AB30" s="166"/>
      <c r="AC30" s="6"/>
      <c r="AD30" s="95"/>
      <c r="AE30" s="99"/>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row>
    <row r="31" spans="1:252" s="96" customFormat="1" ht="20.25" customHeight="1">
      <c r="A31" s="32" t="str">
        <f t="shared" si="0"/>
        <v>Montag</v>
      </c>
      <c r="B31" s="37">
        <f t="shared" si="2"/>
        <v>42926</v>
      </c>
      <c r="C31" s="185" t="str">
        <f>IF(OR(A31="Samstag",A31="Sonntag"),"",IF(COUNTIF(Übersicht!C$16:C$30,B31)&gt;0,"BA",""))</f>
        <v/>
      </c>
      <c r="D31" s="38"/>
      <c r="E31" s="172">
        <f t="shared" si="4"/>
        <v>2</v>
      </c>
      <c r="F31" s="176"/>
      <c r="G31" s="177"/>
      <c r="H31" s="178"/>
      <c r="I31" s="38">
        <f t="shared" si="1"/>
        <v>0</v>
      </c>
      <c r="J31" s="35">
        <f t="shared" si="3"/>
        <v>-2</v>
      </c>
      <c r="K31" s="36">
        <f t="shared" si="5"/>
        <v>-11.250000000000004</v>
      </c>
      <c r="L31" s="251"/>
      <c r="M31" s="252"/>
      <c r="N31" s="252"/>
      <c r="O31" s="252"/>
      <c r="P31" s="253"/>
      <c r="Q31" s="89"/>
      <c r="R31" s="165"/>
      <c r="S31" s="76"/>
      <c r="T31" s="76"/>
      <c r="U31" s="76"/>
      <c r="V31" s="76"/>
      <c r="W31" s="76"/>
      <c r="X31" s="76"/>
      <c r="Y31" s="76"/>
      <c r="Z31" s="76"/>
      <c r="AA31" s="68"/>
      <c r="AB31" s="166"/>
      <c r="AC31" s="6"/>
      <c r="AD31" s="95"/>
      <c r="AE31" s="99"/>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row>
    <row r="32" spans="1:252" s="96" customFormat="1" ht="20.25" customHeight="1">
      <c r="A32" s="32" t="str">
        <f t="shared" si="0"/>
        <v>Dienstag</v>
      </c>
      <c r="B32" s="37">
        <f t="shared" si="2"/>
        <v>42927</v>
      </c>
      <c r="C32" s="185" t="str">
        <f>IF(OR(A32="Samstag",A32="Sonntag"),"",IF(COUNTIF(Übersicht!C$16:C$30,B32)&gt;0,"BA",""))</f>
        <v/>
      </c>
      <c r="D32" s="38"/>
      <c r="E32" s="172">
        <f t="shared" si="4"/>
        <v>2</v>
      </c>
      <c r="F32" s="176"/>
      <c r="G32" s="177"/>
      <c r="H32" s="178"/>
      <c r="I32" s="38">
        <f t="shared" si="1"/>
        <v>0</v>
      </c>
      <c r="J32" s="35">
        <f t="shared" si="3"/>
        <v>-2</v>
      </c>
      <c r="K32" s="36">
        <f t="shared" si="5"/>
        <v>-13.250000000000004</v>
      </c>
      <c r="L32" s="251"/>
      <c r="M32" s="252"/>
      <c r="N32" s="252"/>
      <c r="O32" s="252"/>
      <c r="P32" s="253"/>
      <c r="Q32" s="89"/>
      <c r="R32" s="165"/>
      <c r="S32" s="76"/>
      <c r="T32" s="76"/>
      <c r="U32" s="76"/>
      <c r="V32" s="76"/>
      <c r="W32" s="76"/>
      <c r="X32" s="76"/>
      <c r="Y32" s="76"/>
      <c r="Z32" s="76"/>
      <c r="AA32" s="68"/>
      <c r="AB32" s="166"/>
      <c r="AC32" s="6"/>
      <c r="AD32" s="95"/>
      <c r="AE32" s="99"/>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row>
    <row r="33" spans="1:252" s="96" customFormat="1" ht="20.25" customHeight="1">
      <c r="A33" s="32" t="str">
        <f t="shared" si="0"/>
        <v>Mittwoch</v>
      </c>
      <c r="B33" s="37">
        <f t="shared" si="2"/>
        <v>42928</v>
      </c>
      <c r="C33" s="185" t="str">
        <f>IF(OR(A33="Samstag",A33="Sonntag"),"",IF(COUNTIF(Übersicht!C$16:C$30,B33)&gt;0,"BA",""))</f>
        <v/>
      </c>
      <c r="D33" s="38"/>
      <c r="E33" s="172">
        <f t="shared" si="4"/>
        <v>2</v>
      </c>
      <c r="F33" s="176"/>
      <c r="G33" s="177"/>
      <c r="H33" s="178"/>
      <c r="I33" s="38">
        <f t="shared" si="1"/>
        <v>0</v>
      </c>
      <c r="J33" s="35">
        <f t="shared" si="3"/>
        <v>-2</v>
      </c>
      <c r="K33" s="36">
        <f t="shared" si="5"/>
        <v>-15.250000000000004</v>
      </c>
      <c r="L33" s="251"/>
      <c r="M33" s="252"/>
      <c r="N33" s="252"/>
      <c r="O33" s="252"/>
      <c r="P33" s="253"/>
      <c r="Q33" s="89"/>
      <c r="R33" s="165"/>
      <c r="S33" s="76"/>
      <c r="T33" s="76"/>
      <c r="U33" s="76"/>
      <c r="V33" s="76"/>
      <c r="W33" s="76"/>
      <c r="X33" s="76"/>
      <c r="Y33" s="76"/>
      <c r="Z33" s="76"/>
      <c r="AA33" s="68"/>
      <c r="AB33" s="166"/>
      <c r="AC33" s="6"/>
      <c r="AD33" s="95"/>
      <c r="AE33" s="99"/>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row>
    <row r="34" spans="1:252" s="96" customFormat="1" ht="20.25" customHeight="1">
      <c r="A34" s="32" t="str">
        <f t="shared" si="0"/>
        <v>Donnerstag</v>
      </c>
      <c r="B34" s="37">
        <f t="shared" si="2"/>
        <v>42929</v>
      </c>
      <c r="C34" s="185" t="str">
        <f>IF(OR(A34="Samstag",A34="Sonntag"),"",IF(COUNTIF(Übersicht!C$16:C$30,B34)&gt;0,"BA",""))</f>
        <v/>
      </c>
      <c r="D34" s="38"/>
      <c r="E34" s="172">
        <f t="shared" si="4"/>
        <v>2</v>
      </c>
      <c r="F34" s="176"/>
      <c r="G34" s="177"/>
      <c r="H34" s="178"/>
      <c r="I34" s="38">
        <f t="shared" si="1"/>
        <v>0</v>
      </c>
      <c r="J34" s="35">
        <f t="shared" si="3"/>
        <v>-2</v>
      </c>
      <c r="K34" s="36">
        <f t="shared" si="5"/>
        <v>-17.250000000000004</v>
      </c>
      <c r="L34" s="251"/>
      <c r="M34" s="252"/>
      <c r="N34" s="252"/>
      <c r="O34" s="252"/>
      <c r="P34" s="253"/>
      <c r="Q34" s="89"/>
      <c r="R34" s="165"/>
      <c r="S34" s="76"/>
      <c r="T34" s="76"/>
      <c r="U34" s="76"/>
      <c r="V34" s="76"/>
      <c r="W34" s="76"/>
      <c r="X34" s="76"/>
      <c r="Y34" s="76"/>
      <c r="Z34" s="76"/>
      <c r="AA34" s="68"/>
      <c r="AB34" s="166"/>
      <c r="AC34" s="6"/>
      <c r="AD34" s="95"/>
      <c r="AE34" s="99"/>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row>
    <row r="35" spans="1:252" s="96" customFormat="1" ht="20.25" customHeight="1">
      <c r="A35" s="32" t="str">
        <f t="shared" si="0"/>
        <v>Freitag</v>
      </c>
      <c r="B35" s="37">
        <f t="shared" si="2"/>
        <v>42930</v>
      </c>
      <c r="C35" s="185" t="str">
        <f>IF(OR(A35="Samstag",A35="Sonntag"),"",IF(COUNTIF(Übersicht!C$16:C$30,B35)&gt;0,"BA",""))</f>
        <v/>
      </c>
      <c r="D35" s="38"/>
      <c r="E35" s="172">
        <f t="shared" si="4"/>
        <v>2</v>
      </c>
      <c r="F35" s="176"/>
      <c r="G35" s="177"/>
      <c r="H35" s="178"/>
      <c r="I35" s="38">
        <f t="shared" si="1"/>
        <v>0</v>
      </c>
      <c r="J35" s="35">
        <f t="shared" si="3"/>
        <v>-2</v>
      </c>
      <c r="K35" s="36">
        <f t="shared" si="5"/>
        <v>-19.250000000000004</v>
      </c>
      <c r="L35" s="251"/>
      <c r="M35" s="252"/>
      <c r="N35" s="252"/>
      <c r="O35" s="252"/>
      <c r="P35" s="253"/>
      <c r="Q35" s="89"/>
      <c r="R35" s="165"/>
      <c r="S35" s="76"/>
      <c r="T35" s="76"/>
      <c r="U35" s="76"/>
      <c r="V35" s="76"/>
      <c r="W35" s="76"/>
      <c r="X35" s="76"/>
      <c r="Y35" s="76"/>
      <c r="Z35" s="76"/>
      <c r="AA35" s="68"/>
      <c r="AB35" s="166"/>
      <c r="AC35" s="6"/>
      <c r="AD35" s="95"/>
      <c r="AE35" s="99"/>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row>
    <row r="36" spans="1:252" s="96" customFormat="1" ht="20.25" customHeight="1">
      <c r="A36" s="32" t="str">
        <f t="shared" si="0"/>
        <v>Samstag</v>
      </c>
      <c r="B36" s="37">
        <f t="shared" si="2"/>
        <v>42931</v>
      </c>
      <c r="C36" s="185" t="str">
        <f>IF(OR(A36="Samstag",A36="Sonntag"),"",IF(COUNTIF(Übersicht!C$16:C$30,B36)&gt;0,"BA",""))</f>
        <v/>
      </c>
      <c r="D36" s="38"/>
      <c r="E36" s="172" t="str">
        <f t="shared" si="4"/>
        <v/>
      </c>
      <c r="F36" s="176"/>
      <c r="G36" s="177"/>
      <c r="H36" s="178"/>
      <c r="I36" s="38">
        <f t="shared" si="1"/>
        <v>0</v>
      </c>
      <c r="J36" s="35">
        <f t="shared" si="3"/>
        <v>0</v>
      </c>
      <c r="K36" s="36">
        <f t="shared" si="5"/>
        <v>-19.250000000000004</v>
      </c>
      <c r="L36" s="251"/>
      <c r="M36" s="252"/>
      <c r="N36" s="252"/>
      <c r="O36" s="252"/>
      <c r="P36" s="253"/>
      <c r="Q36" s="89"/>
      <c r="R36" s="165"/>
      <c r="S36" s="76"/>
      <c r="T36" s="76"/>
      <c r="U36" s="76"/>
      <c r="V36" s="76"/>
      <c r="W36" s="76"/>
      <c r="X36" s="76"/>
      <c r="Y36" s="76"/>
      <c r="Z36" s="76"/>
      <c r="AA36" s="68"/>
      <c r="AB36" s="166"/>
      <c r="AC36" s="6"/>
      <c r="AD36" s="95"/>
      <c r="AE36" s="99"/>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row>
    <row r="37" spans="1:252" s="96" customFormat="1" ht="20.25" customHeight="1">
      <c r="A37" s="32" t="str">
        <f t="shared" si="0"/>
        <v>Sonntag</v>
      </c>
      <c r="B37" s="37">
        <f t="shared" si="2"/>
        <v>42932</v>
      </c>
      <c r="C37" s="185" t="str">
        <f>IF(OR(A37="Samstag",A37="Sonntag"),"",IF(COUNTIF(Übersicht!C$16:C$30,B37)&gt;0,"BA",""))</f>
        <v/>
      </c>
      <c r="D37" s="38"/>
      <c r="E37" s="172" t="str">
        <f t="shared" si="4"/>
        <v/>
      </c>
      <c r="F37" s="176"/>
      <c r="G37" s="177"/>
      <c r="H37" s="178"/>
      <c r="I37" s="38">
        <f t="shared" si="1"/>
        <v>0</v>
      </c>
      <c r="J37" s="35">
        <f t="shared" si="3"/>
        <v>0</v>
      </c>
      <c r="K37" s="36">
        <f t="shared" si="5"/>
        <v>-19.250000000000004</v>
      </c>
      <c r="L37" s="251"/>
      <c r="M37" s="252"/>
      <c r="N37" s="252"/>
      <c r="O37" s="252"/>
      <c r="P37" s="253"/>
      <c r="Q37" s="89"/>
      <c r="R37" s="165"/>
      <c r="S37" s="76"/>
      <c r="T37" s="76"/>
      <c r="U37" s="76"/>
      <c r="V37" s="76"/>
      <c r="W37" s="76"/>
      <c r="X37" s="76"/>
      <c r="Y37" s="76"/>
      <c r="Z37" s="76"/>
      <c r="AA37" s="68"/>
      <c r="AB37" s="166"/>
      <c r="AC37" s="6"/>
      <c r="AD37" s="95"/>
      <c r="AE37" s="99"/>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row>
    <row r="38" spans="1:252" s="96" customFormat="1" ht="20.25" customHeight="1">
      <c r="A38" s="32" t="str">
        <f t="shared" si="0"/>
        <v>Montag</v>
      </c>
      <c r="B38" s="37">
        <f t="shared" si="2"/>
        <v>42933</v>
      </c>
      <c r="C38" s="185" t="str">
        <f>IF(OR(A38="Samstag",A38="Sonntag"),"",IF(COUNTIF(Übersicht!C$16:C$30,B38)&gt;0,"BA",""))</f>
        <v/>
      </c>
      <c r="D38" s="38"/>
      <c r="E38" s="172">
        <f t="shared" si="4"/>
        <v>2</v>
      </c>
      <c r="F38" s="176"/>
      <c r="G38" s="177"/>
      <c r="H38" s="178"/>
      <c r="I38" s="38">
        <f t="shared" si="1"/>
        <v>0</v>
      </c>
      <c r="J38" s="35">
        <f t="shared" si="3"/>
        <v>-2</v>
      </c>
      <c r="K38" s="36">
        <f t="shared" si="5"/>
        <v>-21.250000000000004</v>
      </c>
      <c r="L38" s="251"/>
      <c r="M38" s="252"/>
      <c r="N38" s="252"/>
      <c r="O38" s="252"/>
      <c r="P38" s="253"/>
      <c r="Q38" s="89"/>
      <c r="R38" s="165"/>
      <c r="S38" s="76"/>
      <c r="T38" s="76"/>
      <c r="U38" s="76"/>
      <c r="V38" s="76"/>
      <c r="W38" s="76"/>
      <c r="X38" s="76"/>
      <c r="Y38" s="76"/>
      <c r="Z38" s="76"/>
      <c r="AA38" s="68"/>
      <c r="AB38" s="166"/>
      <c r="AC38" s="6"/>
      <c r="AD38" s="95"/>
      <c r="AE38" s="99"/>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row>
    <row r="39" spans="1:252" s="96" customFormat="1" ht="20.25" customHeight="1">
      <c r="A39" s="32" t="str">
        <f t="shared" si="0"/>
        <v>Dienstag</v>
      </c>
      <c r="B39" s="37">
        <f t="shared" si="2"/>
        <v>42934</v>
      </c>
      <c r="C39" s="185" t="str">
        <f>IF(OR(A39="Samstag",A39="Sonntag"),"",IF(COUNTIF(Übersicht!C$16:C$30,B39)&gt;0,"BA",""))</f>
        <v/>
      </c>
      <c r="D39" s="38"/>
      <c r="E39" s="172">
        <f t="shared" si="4"/>
        <v>2</v>
      </c>
      <c r="F39" s="176"/>
      <c r="G39" s="177"/>
      <c r="H39" s="178"/>
      <c r="I39" s="38">
        <f t="shared" si="1"/>
        <v>0</v>
      </c>
      <c r="J39" s="35">
        <f t="shared" si="3"/>
        <v>-2</v>
      </c>
      <c r="K39" s="36">
        <f t="shared" si="5"/>
        <v>-23.250000000000004</v>
      </c>
      <c r="L39" s="251"/>
      <c r="M39" s="252"/>
      <c r="N39" s="252"/>
      <c r="O39" s="252"/>
      <c r="P39" s="253"/>
      <c r="Q39" s="89"/>
      <c r="R39" s="165"/>
      <c r="S39" s="76"/>
      <c r="T39" s="76"/>
      <c r="U39" s="76"/>
      <c r="V39" s="76"/>
      <c r="W39" s="76"/>
      <c r="X39" s="76"/>
      <c r="Y39" s="76"/>
      <c r="Z39" s="76"/>
      <c r="AA39" s="68"/>
      <c r="AB39" s="166"/>
      <c r="AC39" s="6"/>
      <c r="AD39" s="95"/>
      <c r="AE39" s="99"/>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row>
    <row r="40" spans="1:252" s="96" customFormat="1" ht="20.25" customHeight="1">
      <c r="A40" s="32" t="str">
        <f t="shared" si="0"/>
        <v>Mittwoch</v>
      </c>
      <c r="B40" s="37">
        <f t="shared" si="2"/>
        <v>42935</v>
      </c>
      <c r="C40" s="185" t="str">
        <f>IF(OR(A40="Samstag",A40="Sonntag"),"",IF(COUNTIF(Übersicht!C$16:C$30,B40)&gt;0,"BA",""))</f>
        <v/>
      </c>
      <c r="D40" s="38"/>
      <c r="E40" s="172">
        <f t="shared" si="4"/>
        <v>2</v>
      </c>
      <c r="F40" s="176"/>
      <c r="G40" s="177"/>
      <c r="H40" s="178"/>
      <c r="I40" s="38">
        <f t="shared" si="1"/>
        <v>0</v>
      </c>
      <c r="J40" s="35">
        <f t="shared" si="3"/>
        <v>-2</v>
      </c>
      <c r="K40" s="36">
        <f t="shared" si="5"/>
        <v>-25.250000000000004</v>
      </c>
      <c r="L40" s="251"/>
      <c r="M40" s="252"/>
      <c r="N40" s="252"/>
      <c r="O40" s="252"/>
      <c r="P40" s="253"/>
      <c r="Q40" s="89"/>
      <c r="R40" s="165"/>
      <c r="S40" s="76"/>
      <c r="T40" s="76"/>
      <c r="U40" s="76"/>
      <c r="V40" s="76"/>
      <c r="W40" s="76"/>
      <c r="X40" s="76"/>
      <c r="Y40" s="76"/>
      <c r="Z40" s="76"/>
      <c r="AA40" s="68"/>
      <c r="AB40" s="166"/>
      <c r="AC40" s="6"/>
      <c r="AD40" s="95"/>
      <c r="AE40" s="99"/>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row>
    <row r="41" spans="1:252" s="96" customFormat="1" ht="20.25" customHeight="1">
      <c r="A41" s="32" t="str">
        <f t="shared" si="0"/>
        <v>Donnerstag</v>
      </c>
      <c r="B41" s="37">
        <f t="shared" si="2"/>
        <v>42936</v>
      </c>
      <c r="C41" s="185" t="str">
        <f>IF(OR(A41="Samstag",A41="Sonntag"),"",IF(COUNTIF(Übersicht!C$16:C$30,B41)&gt;0,"BA",""))</f>
        <v/>
      </c>
      <c r="D41" s="38"/>
      <c r="E41" s="172">
        <f t="shared" si="4"/>
        <v>2</v>
      </c>
      <c r="F41" s="176"/>
      <c r="G41" s="177"/>
      <c r="H41" s="178"/>
      <c r="I41" s="38">
        <f t="shared" si="1"/>
        <v>0</v>
      </c>
      <c r="J41" s="35">
        <f t="shared" si="3"/>
        <v>-2</v>
      </c>
      <c r="K41" s="36">
        <f t="shared" si="5"/>
        <v>-27.250000000000004</v>
      </c>
      <c r="L41" s="251"/>
      <c r="M41" s="252"/>
      <c r="N41" s="252"/>
      <c r="O41" s="252"/>
      <c r="P41" s="253"/>
      <c r="Q41" s="89"/>
      <c r="R41" s="165"/>
      <c r="S41" s="76"/>
      <c r="T41" s="76"/>
      <c r="U41" s="76"/>
      <c r="V41" s="76"/>
      <c r="W41" s="76"/>
      <c r="X41" s="76"/>
      <c r="Y41" s="76"/>
      <c r="Z41" s="76"/>
      <c r="AA41" s="68"/>
      <c r="AB41" s="166"/>
      <c r="AC41" s="6"/>
      <c r="AD41" s="95"/>
      <c r="AE41" s="99"/>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row>
    <row r="42" spans="1:252" s="96" customFormat="1" ht="20.25" customHeight="1">
      <c r="A42" s="32" t="str">
        <f t="shared" si="0"/>
        <v>Freitag</v>
      </c>
      <c r="B42" s="37">
        <f t="shared" si="2"/>
        <v>42937</v>
      </c>
      <c r="C42" s="185" t="str">
        <f>IF(OR(A42="Samstag",A42="Sonntag"),"",IF(COUNTIF(Übersicht!C$16:C$30,B42)&gt;0,"BA",""))</f>
        <v/>
      </c>
      <c r="D42" s="38"/>
      <c r="E42" s="172">
        <f t="shared" si="4"/>
        <v>2</v>
      </c>
      <c r="F42" s="176"/>
      <c r="G42" s="177"/>
      <c r="H42" s="178"/>
      <c r="I42" s="38">
        <f t="shared" si="1"/>
        <v>0</v>
      </c>
      <c r="J42" s="35">
        <f t="shared" si="3"/>
        <v>-2</v>
      </c>
      <c r="K42" s="36">
        <f t="shared" si="5"/>
        <v>-29.250000000000004</v>
      </c>
      <c r="L42" s="251"/>
      <c r="M42" s="252"/>
      <c r="N42" s="252"/>
      <c r="O42" s="252"/>
      <c r="P42" s="253"/>
      <c r="Q42" s="89"/>
      <c r="R42" s="165"/>
      <c r="S42" s="76"/>
      <c r="T42" s="76"/>
      <c r="U42" s="76"/>
      <c r="V42" s="76"/>
      <c r="W42" s="76"/>
      <c r="X42" s="76"/>
      <c r="Y42" s="76"/>
      <c r="Z42" s="76"/>
      <c r="AA42" s="68"/>
      <c r="AB42" s="166"/>
      <c r="AC42" s="6"/>
      <c r="AD42" s="95"/>
      <c r="AE42" s="99"/>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row>
    <row r="43" spans="1:252" s="96" customFormat="1" ht="20.25" customHeight="1">
      <c r="A43" s="32" t="str">
        <f t="shared" si="0"/>
        <v>Samstag</v>
      </c>
      <c r="B43" s="37">
        <f t="shared" si="2"/>
        <v>42938</v>
      </c>
      <c r="C43" s="185" t="str">
        <f>IF(OR(A43="Samstag",A43="Sonntag"),"",IF(COUNTIF(Übersicht!C$16:C$30,B43)&gt;0,"BA",""))</f>
        <v/>
      </c>
      <c r="D43" s="38"/>
      <c r="E43" s="172" t="str">
        <f t="shared" si="4"/>
        <v/>
      </c>
      <c r="F43" s="176"/>
      <c r="G43" s="177"/>
      <c r="H43" s="178"/>
      <c r="I43" s="38">
        <f t="shared" si="1"/>
        <v>0</v>
      </c>
      <c r="J43" s="35">
        <f t="shared" si="3"/>
        <v>0</v>
      </c>
      <c r="K43" s="36">
        <f t="shared" si="5"/>
        <v>-29.250000000000004</v>
      </c>
      <c r="L43" s="251"/>
      <c r="M43" s="252"/>
      <c r="N43" s="252"/>
      <c r="O43" s="252"/>
      <c r="P43" s="253"/>
      <c r="Q43" s="89"/>
      <c r="R43" s="165"/>
      <c r="S43" s="76"/>
      <c r="T43" s="76"/>
      <c r="U43" s="76"/>
      <c r="V43" s="76"/>
      <c r="W43" s="76"/>
      <c r="X43" s="76"/>
      <c r="Y43" s="76"/>
      <c r="Z43" s="76"/>
      <c r="AA43" s="68"/>
      <c r="AB43" s="166"/>
      <c r="AC43" s="6"/>
      <c r="AD43" s="95"/>
      <c r="AE43" s="99"/>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row>
    <row r="44" spans="1:252" s="96" customFormat="1" ht="20.25" customHeight="1">
      <c r="A44" s="32" t="str">
        <f t="shared" si="0"/>
        <v>Sonntag</v>
      </c>
      <c r="B44" s="37">
        <f t="shared" si="2"/>
        <v>42939</v>
      </c>
      <c r="C44" s="185" t="str">
        <f>IF(OR(A44="Samstag",A44="Sonntag"),"",IF(COUNTIF(Übersicht!C$16:C$30,B44)&gt;0,"BA",""))</f>
        <v/>
      </c>
      <c r="D44" s="38"/>
      <c r="E44" s="172" t="str">
        <f t="shared" si="4"/>
        <v/>
      </c>
      <c r="F44" s="176"/>
      <c r="G44" s="177"/>
      <c r="H44" s="178"/>
      <c r="I44" s="38">
        <f t="shared" si="1"/>
        <v>0</v>
      </c>
      <c r="J44" s="35">
        <f t="shared" si="3"/>
        <v>0</v>
      </c>
      <c r="K44" s="36">
        <f t="shared" si="5"/>
        <v>-29.250000000000004</v>
      </c>
      <c r="L44" s="251"/>
      <c r="M44" s="252"/>
      <c r="N44" s="252"/>
      <c r="O44" s="252"/>
      <c r="P44" s="253"/>
      <c r="Q44" s="89"/>
      <c r="R44" s="165"/>
      <c r="S44" s="76"/>
      <c r="T44" s="76"/>
      <c r="U44" s="76"/>
      <c r="V44" s="76"/>
      <c r="W44" s="76"/>
      <c r="X44" s="76"/>
      <c r="Y44" s="76"/>
      <c r="Z44" s="76"/>
      <c r="AA44" s="68"/>
      <c r="AB44" s="166"/>
      <c r="AC44" s="6"/>
      <c r="AD44" s="95"/>
      <c r="AE44" s="99"/>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row>
    <row r="45" spans="1:252" s="96" customFormat="1" ht="20.25" customHeight="1">
      <c r="A45" s="32" t="str">
        <f t="shared" si="0"/>
        <v>Montag</v>
      </c>
      <c r="B45" s="37">
        <f t="shared" si="2"/>
        <v>42940</v>
      </c>
      <c r="C45" s="185" t="str">
        <f>IF(OR(A45="Samstag",A45="Sonntag"),"",IF(COUNTIF(Übersicht!C$16:C$30,B45)&gt;0,"BA",""))</f>
        <v/>
      </c>
      <c r="D45" s="38"/>
      <c r="E45" s="172">
        <f t="shared" si="4"/>
        <v>2</v>
      </c>
      <c r="F45" s="176"/>
      <c r="G45" s="177"/>
      <c r="H45" s="178"/>
      <c r="I45" s="38">
        <f t="shared" si="1"/>
        <v>0</v>
      </c>
      <c r="J45" s="35">
        <f t="shared" si="3"/>
        <v>-2</v>
      </c>
      <c r="K45" s="36">
        <f t="shared" si="5"/>
        <v>-31.250000000000004</v>
      </c>
      <c r="L45" s="251"/>
      <c r="M45" s="252"/>
      <c r="N45" s="252"/>
      <c r="O45" s="252"/>
      <c r="P45" s="253"/>
      <c r="Q45" s="89"/>
      <c r="R45" s="165"/>
      <c r="S45" s="76"/>
      <c r="T45" s="76"/>
      <c r="U45" s="76"/>
      <c r="V45" s="76"/>
      <c r="W45" s="76"/>
      <c r="X45" s="76"/>
      <c r="Y45" s="76"/>
      <c r="Z45" s="76"/>
      <c r="AA45" s="68"/>
      <c r="AB45" s="166"/>
      <c r="AC45" s="6"/>
      <c r="AD45" s="95"/>
      <c r="AE45" s="99"/>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row>
    <row r="46" spans="1:252" s="96" customFormat="1" ht="20.25" customHeight="1">
      <c r="A46" s="32" t="str">
        <f t="shared" si="0"/>
        <v>Dienstag</v>
      </c>
      <c r="B46" s="37">
        <f t="shared" si="2"/>
        <v>42941</v>
      </c>
      <c r="C46" s="185" t="str">
        <f>IF(OR(A46="Samstag",A46="Sonntag"),"",IF(COUNTIF(Übersicht!C$16:C$30,B46)&gt;0,"BA",""))</f>
        <v/>
      </c>
      <c r="D46" s="38"/>
      <c r="E46" s="172">
        <f t="shared" si="4"/>
        <v>2</v>
      </c>
      <c r="F46" s="176"/>
      <c r="G46" s="177"/>
      <c r="H46" s="178"/>
      <c r="I46" s="38">
        <f t="shared" si="1"/>
        <v>0</v>
      </c>
      <c r="J46" s="35">
        <f t="shared" si="3"/>
        <v>-2</v>
      </c>
      <c r="K46" s="36">
        <f t="shared" si="5"/>
        <v>-33.25</v>
      </c>
      <c r="L46" s="251"/>
      <c r="M46" s="252"/>
      <c r="N46" s="252"/>
      <c r="O46" s="252"/>
      <c r="P46" s="253"/>
      <c r="Q46" s="89"/>
      <c r="R46" s="165"/>
      <c r="S46" s="76"/>
      <c r="T46" s="76"/>
      <c r="U46" s="76"/>
      <c r="V46" s="76"/>
      <c r="W46" s="76"/>
      <c r="X46" s="76"/>
      <c r="Y46" s="76"/>
      <c r="Z46" s="76"/>
      <c r="AA46" s="68"/>
      <c r="AB46" s="166"/>
      <c r="AC46" s="6"/>
      <c r="AD46" s="95"/>
      <c r="AE46" s="99"/>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row>
    <row r="47" spans="1:252" s="96" customFormat="1" ht="20.25" customHeight="1">
      <c r="A47" s="32" t="str">
        <f t="shared" si="0"/>
        <v>Mittwoch</v>
      </c>
      <c r="B47" s="37">
        <f t="shared" si="2"/>
        <v>42942</v>
      </c>
      <c r="C47" s="185" t="str">
        <f>IF(OR(A47="Samstag",A47="Sonntag"),"",IF(COUNTIF(Übersicht!C$16:C$30,B47)&gt;0,"BA",""))</f>
        <v/>
      </c>
      <c r="D47" s="38"/>
      <c r="E47" s="172">
        <f t="shared" si="4"/>
        <v>2</v>
      </c>
      <c r="F47" s="176"/>
      <c r="G47" s="177"/>
      <c r="H47" s="178"/>
      <c r="I47" s="38">
        <f t="shared" si="1"/>
        <v>0</v>
      </c>
      <c r="J47" s="35">
        <f t="shared" si="3"/>
        <v>-2</v>
      </c>
      <c r="K47" s="36">
        <f t="shared" si="5"/>
        <v>-35.25</v>
      </c>
      <c r="L47" s="251"/>
      <c r="M47" s="252"/>
      <c r="N47" s="252"/>
      <c r="O47" s="252"/>
      <c r="P47" s="253"/>
      <c r="Q47" s="89"/>
      <c r="R47" s="165"/>
      <c r="S47" s="76"/>
      <c r="T47" s="76"/>
      <c r="U47" s="76"/>
      <c r="V47" s="76"/>
      <c r="W47" s="76"/>
      <c r="X47" s="76"/>
      <c r="Y47" s="76"/>
      <c r="Z47" s="76"/>
      <c r="AA47" s="68"/>
      <c r="AB47" s="166"/>
      <c r="AC47" s="6"/>
      <c r="AD47" s="95"/>
      <c r="AE47" s="99"/>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row>
    <row r="48" spans="1:252" s="96" customFormat="1" ht="20.25" customHeight="1">
      <c r="A48" s="32" t="str">
        <f t="shared" si="0"/>
        <v>Donnerstag</v>
      </c>
      <c r="B48" s="37">
        <f t="shared" si="2"/>
        <v>42943</v>
      </c>
      <c r="C48" s="185" t="str">
        <f>IF(OR(A48="Samstag",A48="Sonntag"),"",IF(COUNTIF(Übersicht!C$16:C$30,B48)&gt;0,"BA",""))</f>
        <v/>
      </c>
      <c r="D48" s="38"/>
      <c r="E48" s="172">
        <f t="shared" si="4"/>
        <v>2</v>
      </c>
      <c r="F48" s="176"/>
      <c r="G48" s="177"/>
      <c r="H48" s="178"/>
      <c r="I48" s="38">
        <f t="shared" si="1"/>
        <v>0</v>
      </c>
      <c r="J48" s="35">
        <f t="shared" si="3"/>
        <v>-2</v>
      </c>
      <c r="K48" s="36">
        <f t="shared" si="5"/>
        <v>-37.25</v>
      </c>
      <c r="L48" s="251"/>
      <c r="M48" s="252"/>
      <c r="N48" s="252"/>
      <c r="O48" s="252"/>
      <c r="P48" s="253"/>
      <c r="Q48" s="89"/>
      <c r="R48" s="165"/>
      <c r="S48" s="76"/>
      <c r="T48" s="76"/>
      <c r="U48" s="76"/>
      <c r="V48" s="76"/>
      <c r="W48" s="76"/>
      <c r="X48" s="76"/>
      <c r="Y48" s="76"/>
      <c r="Z48" s="76"/>
      <c r="AA48" s="68"/>
      <c r="AB48" s="166"/>
      <c r="AC48" s="6"/>
      <c r="AD48" s="95"/>
      <c r="AE48" s="99"/>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row>
    <row r="49" spans="1:252" s="96" customFormat="1" ht="20.25" customHeight="1">
      <c r="A49" s="32" t="str">
        <f t="shared" si="0"/>
        <v>Freitag</v>
      </c>
      <c r="B49" s="37">
        <f t="shared" si="2"/>
        <v>42944</v>
      </c>
      <c r="C49" s="185" t="str">
        <f>IF(OR(A49="Samstag",A49="Sonntag"),"",IF(COUNTIF(Übersicht!C$16:C$30,B49)&gt;0,"BA",""))</f>
        <v/>
      </c>
      <c r="D49" s="38"/>
      <c r="E49" s="172">
        <f t="shared" si="4"/>
        <v>2</v>
      </c>
      <c r="F49" s="176"/>
      <c r="G49" s="177"/>
      <c r="H49" s="178"/>
      <c r="I49" s="38">
        <f t="shared" si="1"/>
        <v>0</v>
      </c>
      <c r="J49" s="35">
        <f t="shared" si="3"/>
        <v>-2</v>
      </c>
      <c r="K49" s="36">
        <f t="shared" si="5"/>
        <v>-39.25</v>
      </c>
      <c r="L49" s="251"/>
      <c r="M49" s="252"/>
      <c r="N49" s="252"/>
      <c r="O49" s="252"/>
      <c r="P49" s="253"/>
      <c r="Q49" s="89"/>
      <c r="R49" s="165"/>
      <c r="S49" s="76"/>
      <c r="T49" s="76"/>
      <c r="U49" s="76"/>
      <c r="V49" s="76"/>
      <c r="W49" s="76"/>
      <c r="X49" s="76"/>
      <c r="Y49" s="76"/>
      <c r="Z49" s="76"/>
      <c r="AA49" s="68"/>
      <c r="AB49" s="166"/>
      <c r="AC49" s="6"/>
      <c r="AD49" s="95"/>
      <c r="AE49" s="99"/>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row>
    <row r="50" spans="1:252" s="96" customFormat="1" ht="20.25" customHeight="1">
      <c r="A50" s="32" t="str">
        <f t="shared" si="0"/>
        <v>Samstag</v>
      </c>
      <c r="B50" s="37">
        <f t="shared" si="2"/>
        <v>42945</v>
      </c>
      <c r="C50" s="185" t="str">
        <f>IF(OR(A50="Samstag",A50="Sonntag"),"",IF(COUNTIF(Übersicht!C$16:C$30,B50)&gt;0,"BA",""))</f>
        <v/>
      </c>
      <c r="D50" s="38"/>
      <c r="E50" s="172" t="str">
        <f t="shared" si="4"/>
        <v/>
      </c>
      <c r="F50" s="176"/>
      <c r="G50" s="177"/>
      <c r="H50" s="178"/>
      <c r="I50" s="38">
        <f t="shared" si="1"/>
        <v>0</v>
      </c>
      <c r="J50" s="35">
        <f t="shared" si="3"/>
        <v>0</v>
      </c>
      <c r="K50" s="36">
        <f t="shared" si="5"/>
        <v>-39.25</v>
      </c>
      <c r="L50" s="251"/>
      <c r="M50" s="252"/>
      <c r="N50" s="252"/>
      <c r="O50" s="252"/>
      <c r="P50" s="253"/>
      <c r="Q50" s="89"/>
      <c r="R50" s="165"/>
      <c r="S50" s="76"/>
      <c r="T50" s="76"/>
      <c r="U50" s="76"/>
      <c r="V50" s="76"/>
      <c r="W50" s="76"/>
      <c r="X50" s="76"/>
      <c r="Y50" s="76"/>
      <c r="Z50" s="76"/>
      <c r="AA50" s="68"/>
      <c r="AB50" s="166"/>
      <c r="AC50" s="6"/>
      <c r="AD50" s="95"/>
      <c r="AE50" s="99"/>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row>
    <row r="51" spans="1:252" s="96" customFormat="1" ht="20.25" customHeight="1">
      <c r="A51" s="32" t="str">
        <f t="shared" si="0"/>
        <v>Sonntag</v>
      </c>
      <c r="B51" s="37">
        <f t="shared" si="2"/>
        <v>42946</v>
      </c>
      <c r="C51" s="185" t="str">
        <f>IF(OR(A51="Samstag",A51="Sonntag"),"",IF(COUNTIF(Übersicht!C$16:C$30,B51)&gt;0,"BA",""))</f>
        <v/>
      </c>
      <c r="D51" s="38"/>
      <c r="E51" s="172" t="str">
        <f t="shared" si="4"/>
        <v/>
      </c>
      <c r="F51" s="176"/>
      <c r="G51" s="177"/>
      <c r="H51" s="178"/>
      <c r="I51" s="38">
        <f t="shared" si="1"/>
        <v>0</v>
      </c>
      <c r="J51" s="35">
        <f t="shared" si="3"/>
        <v>0</v>
      </c>
      <c r="K51" s="36">
        <f t="shared" si="5"/>
        <v>-39.25</v>
      </c>
      <c r="L51" s="251"/>
      <c r="M51" s="252"/>
      <c r="N51" s="252"/>
      <c r="O51" s="252"/>
      <c r="P51" s="253"/>
      <c r="Q51" s="89"/>
      <c r="R51" s="165"/>
      <c r="S51" s="76"/>
      <c r="T51" s="76"/>
      <c r="U51" s="76"/>
      <c r="V51" s="76"/>
      <c r="W51" s="76"/>
      <c r="X51" s="76"/>
      <c r="Y51" s="76"/>
      <c r="Z51" s="76"/>
      <c r="AA51" s="68"/>
      <c r="AB51" s="166"/>
      <c r="AC51" s="6"/>
      <c r="AD51" s="95"/>
      <c r="AE51" s="99"/>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row>
    <row r="52" spans="1:252" s="96" customFormat="1" ht="20.25" customHeight="1" thickBot="1">
      <c r="A52" s="32" t="str">
        <f t="shared" si="0"/>
        <v>Montag</v>
      </c>
      <c r="B52" s="37">
        <f t="shared" si="2"/>
        <v>42947</v>
      </c>
      <c r="C52" s="185" t="str">
        <f>IF(OR(A52="Samstag",A52="Sonntag"),"",IF(COUNTIF(Übersicht!C$16:C$30,B52)&gt;0,"BA",""))</f>
        <v/>
      </c>
      <c r="D52" s="39"/>
      <c r="E52" s="172">
        <f t="shared" si="4"/>
        <v>2</v>
      </c>
      <c r="F52" s="198"/>
      <c r="G52" s="199"/>
      <c r="H52" s="200"/>
      <c r="I52" s="38">
        <f t="shared" si="1"/>
        <v>0</v>
      </c>
      <c r="J52" s="35">
        <f t="shared" si="3"/>
        <v>-2</v>
      </c>
      <c r="K52" s="40">
        <f t="shared" si="5"/>
        <v>-41.25</v>
      </c>
      <c r="L52" s="282"/>
      <c r="M52" s="283"/>
      <c r="N52" s="283"/>
      <c r="O52" s="283"/>
      <c r="P52" s="284"/>
      <c r="Q52" s="89"/>
      <c r="R52" s="165"/>
      <c r="S52" s="77"/>
      <c r="T52" s="77"/>
      <c r="U52" s="77"/>
      <c r="V52" s="77"/>
      <c r="W52" s="77"/>
      <c r="X52" s="77"/>
      <c r="Y52" s="77"/>
      <c r="Z52" s="78"/>
      <c r="AA52" s="68"/>
      <c r="AB52" s="166"/>
      <c r="AC52" s="6"/>
      <c r="AD52" s="95"/>
      <c r="AE52" s="99"/>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row>
    <row r="53" spans="1:252" s="96" customFormat="1" ht="18.75" customHeight="1">
      <c r="A53" s="6"/>
      <c r="B53" s="41" t="s">
        <v>26</v>
      </c>
      <c r="C53" s="42"/>
      <c r="D53" s="43"/>
      <c r="E53" s="43" t="s">
        <v>11</v>
      </c>
      <c r="F53" s="44"/>
      <c r="G53" s="44"/>
      <c r="H53" s="44"/>
      <c r="I53" s="43" t="s">
        <v>20</v>
      </c>
      <c r="J53" s="43" t="s">
        <v>28</v>
      </c>
      <c r="K53" s="43" t="s">
        <v>27</v>
      </c>
      <c r="L53" s="45"/>
      <c r="M53" s="45"/>
      <c r="N53" s="45"/>
      <c r="O53" s="45"/>
      <c r="P53" s="46"/>
      <c r="Q53" s="160"/>
      <c r="R53" s="160"/>
      <c r="S53" s="76"/>
      <c r="T53" s="183"/>
      <c r="U53" s="79"/>
      <c r="V53" s="6"/>
      <c r="W53" s="78"/>
      <c r="X53" s="76"/>
      <c r="Y53" s="80"/>
      <c r="Z53" s="80"/>
      <c r="AA53" s="68"/>
      <c r="AB53" s="68"/>
      <c r="AC53" s="6"/>
      <c r="AD53" s="95"/>
      <c r="AE53" s="99"/>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row>
    <row r="54" spans="1:252" s="96" customFormat="1" ht="18.75" customHeight="1">
      <c r="A54" s="6"/>
      <c r="B54" s="47"/>
      <c r="C54" s="48"/>
      <c r="D54" s="49"/>
      <c r="E54" s="50">
        <f>SUM(E22:E52)</f>
        <v>42</v>
      </c>
      <c r="F54" s="51"/>
      <c r="G54" s="52"/>
      <c r="H54" s="49"/>
      <c r="I54" s="50">
        <f>SUM(I22:I52)</f>
        <v>0</v>
      </c>
      <c r="J54" s="50">
        <f>SUM(J22:J52)</f>
        <v>-42</v>
      </c>
      <c r="K54" s="50">
        <f>K52</f>
        <v>-41.25</v>
      </c>
      <c r="L54" s="91"/>
      <c r="M54" s="91"/>
      <c r="N54" s="91"/>
      <c r="O54" s="91"/>
      <c r="P54" s="53"/>
      <c r="Q54" s="161"/>
      <c r="R54" s="161"/>
      <c r="S54" s="81"/>
      <c r="T54" s="82"/>
      <c r="U54" s="82"/>
      <c r="V54" s="6"/>
      <c r="W54" s="81"/>
      <c r="X54" s="81"/>
      <c r="Y54" s="6"/>
      <c r="Z54" s="6"/>
      <c r="AA54" s="68"/>
      <c r="AB54" s="68"/>
      <c r="AC54" s="6"/>
      <c r="AD54" s="95"/>
      <c r="AE54" s="99"/>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row>
    <row r="55" spans="1:252" s="96" customFormat="1" ht="15">
      <c r="A55" s="6"/>
      <c r="B55" s="54"/>
      <c r="C55" s="54"/>
      <c r="D55" s="54"/>
      <c r="E55" s="54"/>
      <c r="F55" s="55"/>
      <c r="G55" s="56"/>
      <c r="H55" s="100"/>
      <c r="I55" s="6"/>
      <c r="J55" s="101"/>
      <c r="K55" s="257" t="str">
        <f>IF($E$54*1.5&lt;IF($M$7&lt;0,$I$54+$M$7,$I$54),"Überschreitung der zulässigen Monatsarbeitszeit um &gt;50%","")</f>
        <v/>
      </c>
      <c r="L55" s="257"/>
      <c r="M55" s="257"/>
      <c r="N55" s="257"/>
      <c r="O55" s="257"/>
      <c r="P55" s="60"/>
      <c r="Q55" s="162"/>
      <c r="R55" s="162"/>
      <c r="S55" s="83"/>
      <c r="T55" s="83"/>
      <c r="U55" s="83"/>
      <c r="V55" s="6"/>
      <c r="W55" s="6"/>
      <c r="X55" s="76"/>
      <c r="Y55" s="6"/>
      <c r="Z55" s="6"/>
      <c r="AA55" s="68"/>
      <c r="AB55" s="68"/>
      <c r="AC55" s="6"/>
      <c r="AD55" s="95"/>
      <c r="AE55" s="99"/>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row>
    <row r="56" spans="1:252" s="96" customFormat="1" ht="15">
      <c r="A56" s="6"/>
      <c r="B56" s="54"/>
      <c r="C56" s="54"/>
      <c r="D56" s="54"/>
      <c r="E56" s="54"/>
      <c r="F56" s="55"/>
      <c r="G56" s="56"/>
      <c r="H56" s="102"/>
      <c r="I56" s="101"/>
      <c r="J56" s="101"/>
      <c r="K56" s="58"/>
      <c r="L56" s="59"/>
      <c r="M56" s="59"/>
      <c r="N56" s="59"/>
      <c r="O56" s="59"/>
      <c r="P56" s="60"/>
      <c r="Q56" s="162"/>
      <c r="R56" s="162"/>
      <c r="S56" s="83"/>
      <c r="T56" s="83"/>
      <c r="U56" s="83"/>
      <c r="V56" s="6"/>
      <c r="W56" s="6"/>
      <c r="X56" s="81"/>
      <c r="Y56" s="6"/>
      <c r="Z56" s="6"/>
      <c r="AA56" s="68"/>
      <c r="AB56" s="68"/>
      <c r="AC56" s="6"/>
      <c r="AD56" s="95"/>
      <c r="AE56" s="99"/>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row>
    <row r="57" spans="1:252" s="96" customFormat="1" ht="15">
      <c r="A57" s="6"/>
      <c r="B57" s="61"/>
      <c r="C57" s="61"/>
      <c r="D57" s="61"/>
      <c r="E57" s="61"/>
      <c r="F57" s="61"/>
      <c r="G57" s="61"/>
      <c r="H57" s="62"/>
      <c r="I57" s="6"/>
      <c r="J57" s="6"/>
      <c r="K57" s="6" t="s">
        <v>75</v>
      </c>
      <c r="L57" s="6"/>
      <c r="M57" s="6"/>
      <c r="N57" s="6"/>
      <c r="O57" s="57"/>
      <c r="P57" s="24"/>
      <c r="Q57" s="156"/>
      <c r="R57" s="156"/>
      <c r="S57" s="6"/>
      <c r="T57" s="6"/>
      <c r="U57" s="6"/>
      <c r="V57" s="6"/>
      <c r="W57" s="6"/>
      <c r="X57" s="6"/>
      <c r="Y57" s="6"/>
      <c r="Z57" s="6"/>
      <c r="AA57" s="68"/>
      <c r="AB57" s="68"/>
      <c r="AC57" s="6"/>
      <c r="AD57" s="95"/>
      <c r="AE57" s="99"/>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row>
    <row r="58" spans="1:252" s="96" customFormat="1" ht="15">
      <c r="A58" s="6"/>
      <c r="B58" s="62"/>
      <c r="C58" s="62"/>
      <c r="D58" s="62"/>
      <c r="E58" s="62"/>
      <c r="F58" s="62"/>
      <c r="G58" s="62"/>
      <c r="H58" s="32"/>
      <c r="I58" s="103"/>
      <c r="J58" s="68"/>
      <c r="K58" s="6" t="s">
        <v>76</v>
      </c>
      <c r="L58" s="206"/>
      <c r="M58" s="207"/>
      <c r="N58" s="207"/>
      <c r="O58" s="201"/>
      <c r="P58" s="63"/>
      <c r="Q58" s="163"/>
      <c r="R58" s="163"/>
      <c r="S58" s="84"/>
      <c r="T58" s="84"/>
      <c r="U58" s="84"/>
      <c r="V58" s="6"/>
      <c r="W58" s="6"/>
      <c r="X58" s="6"/>
      <c r="Y58" s="6"/>
      <c r="Z58" s="6"/>
      <c r="AA58" s="68"/>
      <c r="AB58" s="68"/>
      <c r="AC58" s="6"/>
      <c r="AD58" s="95"/>
      <c r="AE58" s="99"/>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row>
    <row r="59" spans="1:252" s="96" customFormat="1" ht="15">
      <c r="A59" s="6"/>
      <c r="B59" s="64"/>
      <c r="C59" s="64"/>
      <c r="D59" s="64"/>
      <c r="E59" s="64"/>
      <c r="F59" s="64"/>
      <c r="G59" s="62"/>
      <c r="H59" s="208"/>
      <c r="I59" s="208"/>
      <c r="J59" s="208"/>
      <c r="K59" s="65"/>
      <c r="L59" s="65"/>
      <c r="M59" s="65"/>
      <c r="N59" s="65"/>
      <c r="O59" s="65"/>
      <c r="P59" s="66"/>
      <c r="Q59" s="156"/>
      <c r="R59" s="156"/>
      <c r="S59" s="6"/>
      <c r="T59" s="6"/>
      <c r="U59" s="6"/>
      <c r="V59" s="6"/>
      <c r="W59" s="6"/>
      <c r="X59" s="6"/>
      <c r="Y59" s="6"/>
      <c r="Z59" s="6"/>
      <c r="AA59" s="68"/>
      <c r="AB59" s="68"/>
      <c r="AC59" s="6"/>
      <c r="AD59" s="95"/>
      <c r="AE59" s="99"/>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row>
    <row r="60" spans="1:252" s="96" customFormat="1" ht="15">
      <c r="A60" s="6"/>
      <c r="B60" s="67" t="s">
        <v>4</v>
      </c>
      <c r="C60" s="280" t="s">
        <v>5</v>
      </c>
      <c r="D60" s="280"/>
      <c r="E60" s="280"/>
      <c r="F60" s="280"/>
      <c r="G60" s="281"/>
      <c r="H60" s="32"/>
      <c r="I60" s="104"/>
      <c r="J60" s="6"/>
      <c r="K60" s="67" t="s">
        <v>4</v>
      </c>
      <c r="L60" s="281" t="s">
        <v>66</v>
      </c>
      <c r="M60" s="281"/>
      <c r="N60" s="281"/>
      <c r="O60" s="281"/>
      <c r="P60" s="281"/>
      <c r="Q60" s="24"/>
      <c r="R60" s="6"/>
      <c r="S60" s="6"/>
      <c r="T60" s="6"/>
      <c r="U60" s="6"/>
      <c r="V60" s="6"/>
      <c r="W60" s="6"/>
      <c r="X60" s="6"/>
      <c r="Y60" s="6"/>
      <c r="Z60" s="6"/>
      <c r="AA60" s="68"/>
      <c r="AB60" s="68"/>
      <c r="AC60" s="6"/>
      <c r="AD60" s="95"/>
      <c r="AE60" s="99"/>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row>
    <row r="61" spans="1:252" s="96" customFormat="1" ht="15">
      <c r="A61" s="6"/>
      <c r="B61" s="67"/>
      <c r="C61" s="205"/>
      <c r="D61" s="205"/>
      <c r="E61" s="205"/>
      <c r="F61" s="205"/>
      <c r="G61" s="205"/>
      <c r="H61" s="32"/>
      <c r="I61" s="104"/>
      <c r="J61" s="6"/>
      <c r="K61" s="67"/>
      <c r="L61" s="205"/>
      <c r="M61" s="205"/>
      <c r="N61" s="205"/>
      <c r="O61" s="205"/>
      <c r="P61" s="205"/>
      <c r="Q61" s="24"/>
      <c r="R61" s="6"/>
      <c r="S61" s="6"/>
      <c r="T61" s="6"/>
      <c r="U61" s="6"/>
      <c r="V61" s="6"/>
      <c r="W61" s="6"/>
      <c r="X61" s="6"/>
      <c r="Y61" s="6"/>
      <c r="Z61" s="6"/>
      <c r="AA61" s="68"/>
      <c r="AB61" s="68"/>
      <c r="AC61" s="6"/>
      <c r="AD61" s="95"/>
      <c r="AE61" s="99"/>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row>
    <row r="62" spans="1:252" s="96" customFormat="1" ht="15">
      <c r="A62" s="6"/>
      <c r="B62" s="57"/>
      <c r="C62" s="57"/>
      <c r="D62" s="57"/>
      <c r="E62" s="57"/>
      <c r="F62" s="57"/>
      <c r="G62" s="57"/>
      <c r="H62" s="105" t="s">
        <v>46</v>
      </c>
      <c r="I62" s="32"/>
      <c r="J62" s="106">
        <v>42114</v>
      </c>
      <c r="K62" s="57"/>
      <c r="L62" s="57"/>
      <c r="M62" s="57"/>
      <c r="N62" s="57"/>
      <c r="O62" s="57"/>
      <c r="P62" s="24"/>
      <c r="Q62" s="24"/>
      <c r="R62" s="6"/>
      <c r="S62" s="6"/>
      <c r="T62" s="6"/>
      <c r="U62" s="6"/>
      <c r="V62" s="68"/>
      <c r="W62" s="6"/>
      <c r="X62" s="6"/>
      <c r="Y62" s="6"/>
      <c r="Z62" s="6"/>
      <c r="AA62" s="68"/>
      <c r="AB62" s="68"/>
      <c r="AC62" s="6"/>
      <c r="AD62" s="95"/>
      <c r="AE62" s="99"/>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row>
    <row r="63" spans="1:252" s="96" customFormat="1" ht="15" hidden="1">
      <c r="A63" s="6"/>
      <c r="B63" s="57"/>
      <c r="C63" s="57"/>
      <c r="D63" s="57"/>
      <c r="E63" s="57"/>
      <c r="F63" s="57"/>
      <c r="G63" s="57"/>
      <c r="H63" s="57"/>
      <c r="I63" s="57"/>
      <c r="J63" s="57"/>
      <c r="K63" s="57"/>
      <c r="L63" s="57"/>
      <c r="M63" s="57"/>
      <c r="N63" s="57"/>
      <c r="O63" s="57"/>
      <c r="P63" s="24"/>
      <c r="Q63" s="24"/>
      <c r="R63" s="6"/>
      <c r="S63" s="6"/>
      <c r="T63" s="6"/>
      <c r="U63" s="6"/>
      <c r="V63" s="6"/>
      <c r="W63" s="6"/>
      <c r="X63" s="6"/>
      <c r="Y63" s="6"/>
      <c r="Z63" s="6"/>
      <c r="AA63" s="68"/>
      <c r="AB63" s="68"/>
      <c r="AC63" s="6"/>
      <c r="AD63" s="95"/>
      <c r="AE63" s="99"/>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row>
    <row r="64" spans="1:252" s="96" customFormat="1" ht="15" hidden="1">
      <c r="A64" s="6"/>
      <c r="B64" s="57"/>
      <c r="C64" s="57"/>
      <c r="D64" s="57"/>
      <c r="E64" s="57"/>
      <c r="F64" s="57"/>
      <c r="G64" s="57"/>
      <c r="H64" s="57"/>
      <c r="I64" s="57"/>
      <c r="J64" s="57"/>
      <c r="K64" s="57"/>
      <c r="L64" s="57"/>
      <c r="M64" s="57"/>
      <c r="N64" s="57"/>
      <c r="O64" s="57"/>
      <c r="P64" s="24"/>
      <c r="Q64" s="24"/>
      <c r="R64" s="6"/>
      <c r="S64" s="6"/>
      <c r="T64" s="6"/>
      <c r="U64" s="6"/>
      <c r="V64" s="6"/>
      <c r="W64" s="6"/>
      <c r="X64" s="6"/>
      <c r="Y64" s="6"/>
      <c r="Z64" s="6"/>
      <c r="AA64" s="68"/>
      <c r="AB64" s="68"/>
      <c r="AC64" s="6"/>
      <c r="AD64" s="95"/>
      <c r="AE64" s="99"/>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row>
    <row r="65" spans="1:252" s="96" customFormat="1" ht="15" hidden="1">
      <c r="A65" s="6"/>
      <c r="B65" s="57"/>
      <c r="C65" s="57"/>
      <c r="D65" s="57"/>
      <c r="E65" s="57"/>
      <c r="F65" s="57"/>
      <c r="G65" s="57"/>
      <c r="H65" s="57"/>
      <c r="I65" s="57"/>
      <c r="J65" s="57"/>
      <c r="K65" s="57"/>
      <c r="L65" s="57"/>
      <c r="M65" s="57"/>
      <c r="N65" s="57"/>
      <c r="O65" s="57"/>
      <c r="P65" s="24"/>
      <c r="Q65" s="24"/>
      <c r="R65" s="6"/>
      <c r="S65" s="6"/>
      <c r="T65" s="6"/>
      <c r="U65" s="6"/>
      <c r="V65" s="6"/>
      <c r="W65" s="6"/>
      <c r="X65" s="6"/>
      <c r="Y65" s="6"/>
      <c r="Z65" s="6"/>
      <c r="AA65" s="68"/>
      <c r="AB65" s="68"/>
      <c r="AC65" s="6"/>
      <c r="AD65" s="95"/>
      <c r="AE65" s="99"/>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row>
    <row r="66" spans="1:252" s="96" customFormat="1" ht="15" hidden="1">
      <c r="A66" s="6"/>
      <c r="B66" s="57"/>
      <c r="C66" s="57"/>
      <c r="D66" s="57"/>
      <c r="E66" s="57"/>
      <c r="F66" s="57"/>
      <c r="G66" s="57"/>
      <c r="H66" s="57"/>
      <c r="I66" s="57"/>
      <c r="J66" s="57"/>
      <c r="K66" s="57"/>
      <c r="L66" s="57"/>
      <c r="M66" s="57"/>
      <c r="N66" s="57"/>
      <c r="O66" s="57"/>
      <c r="P66" s="24"/>
      <c r="Q66" s="24"/>
      <c r="R66" s="6"/>
      <c r="S66" s="6"/>
      <c r="T66" s="6"/>
      <c r="U66" s="6"/>
      <c r="V66" s="6"/>
      <c r="W66" s="6"/>
      <c r="X66" s="6"/>
      <c r="Y66" s="6"/>
      <c r="Z66" s="6"/>
      <c r="AA66" s="68"/>
      <c r="AB66" s="68"/>
      <c r="AC66" s="6"/>
      <c r="AD66" s="95"/>
      <c r="AE66" s="99"/>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row>
    <row r="67" spans="1:252" s="96" customFormat="1" ht="15" hidden="1">
      <c r="A67" s="6"/>
      <c r="B67" s="57"/>
      <c r="C67" s="57"/>
      <c r="D67" s="57"/>
      <c r="E67" s="57"/>
      <c r="F67" s="57"/>
      <c r="G67" s="57"/>
      <c r="H67" s="57"/>
      <c r="I67" s="57"/>
      <c r="J67" s="57"/>
      <c r="K67" s="57"/>
      <c r="L67" s="57"/>
      <c r="M67" s="57"/>
      <c r="N67" s="57"/>
      <c r="O67" s="57"/>
      <c r="P67" s="24"/>
      <c r="Q67" s="24"/>
      <c r="R67" s="6"/>
      <c r="S67" s="6"/>
      <c r="T67" s="6"/>
      <c r="U67" s="6"/>
      <c r="V67" s="6"/>
      <c r="W67" s="6"/>
      <c r="X67" s="6"/>
      <c r="Y67" s="6"/>
      <c r="Z67" s="6"/>
      <c r="AA67" s="68"/>
      <c r="AB67" s="68"/>
      <c r="AC67" s="6"/>
      <c r="AD67" s="95"/>
      <c r="AE67" s="99"/>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row>
    <row r="68" spans="1:252" s="96" customFormat="1" ht="15" hidden="1">
      <c r="A68" s="6"/>
      <c r="B68" s="57"/>
      <c r="C68" s="57"/>
      <c r="D68" s="57"/>
      <c r="E68" s="57"/>
      <c r="F68" s="57"/>
      <c r="G68" s="57"/>
      <c r="H68" s="57"/>
      <c r="I68" s="57"/>
      <c r="J68" s="57"/>
      <c r="K68" s="57"/>
      <c r="L68" s="57"/>
      <c r="M68" s="57"/>
      <c r="N68" s="57"/>
      <c r="O68" s="57"/>
      <c r="P68" s="24"/>
      <c r="Q68" s="24"/>
      <c r="R68" s="6"/>
      <c r="S68" s="6"/>
      <c r="T68" s="6"/>
      <c r="U68" s="6"/>
      <c r="V68" s="6"/>
      <c r="W68" s="6"/>
      <c r="X68" s="6"/>
      <c r="Y68" s="6"/>
      <c r="Z68" s="6"/>
      <c r="AA68" s="68"/>
      <c r="AB68" s="68"/>
      <c r="AC68" s="6"/>
      <c r="AD68" s="95"/>
      <c r="AE68" s="99"/>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row>
    <row r="69" spans="1:252" s="96" customFormat="1" ht="15" hidden="1">
      <c r="A69" s="6"/>
      <c r="B69" s="57"/>
      <c r="C69" s="57"/>
      <c r="D69" s="57"/>
      <c r="E69" s="57"/>
      <c r="F69" s="57"/>
      <c r="G69" s="57"/>
      <c r="H69" s="57"/>
      <c r="I69" s="57"/>
      <c r="J69" s="57"/>
      <c r="K69" s="57"/>
      <c r="L69" s="57"/>
      <c r="M69" s="57"/>
      <c r="N69" s="57"/>
      <c r="O69" s="57"/>
      <c r="P69" s="24"/>
      <c r="Q69" s="24"/>
      <c r="R69" s="6"/>
      <c r="S69" s="6"/>
      <c r="T69" s="6"/>
      <c r="U69" s="6"/>
      <c r="V69" s="6"/>
      <c r="W69" s="6"/>
      <c r="X69" s="6"/>
      <c r="Y69" s="6"/>
      <c r="Z69" s="6"/>
      <c r="AA69" s="68"/>
      <c r="AB69" s="68"/>
      <c r="AC69" s="6"/>
      <c r="AD69" s="95"/>
      <c r="AE69" s="99"/>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row>
    <row r="70" spans="1:252" s="96" customFormat="1" ht="15" hidden="1">
      <c r="A70" s="6"/>
      <c r="B70" s="57"/>
      <c r="C70" s="57"/>
      <c r="D70" s="57"/>
      <c r="E70" s="57"/>
      <c r="F70" s="57"/>
      <c r="G70" s="57"/>
      <c r="H70" s="57"/>
      <c r="I70" s="57"/>
      <c r="J70" s="57"/>
      <c r="K70" s="57"/>
      <c r="L70" s="57"/>
      <c r="M70" s="57"/>
      <c r="N70" s="57"/>
      <c r="O70" s="57"/>
      <c r="P70" s="24"/>
      <c r="Q70" s="24"/>
      <c r="R70" s="6"/>
      <c r="S70" s="6"/>
      <c r="T70" s="6"/>
      <c r="U70" s="6"/>
      <c r="V70" s="6"/>
      <c r="W70" s="6"/>
      <c r="X70" s="6"/>
      <c r="Y70" s="6"/>
      <c r="Z70" s="6"/>
      <c r="AA70" s="68"/>
      <c r="AB70" s="68"/>
      <c r="AC70" s="6"/>
      <c r="AD70" s="95"/>
      <c r="AE70" s="99"/>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row>
    <row r="71" spans="1:252" s="96" customFormat="1" ht="15" hidden="1">
      <c r="A71" s="6"/>
      <c r="B71" s="57"/>
      <c r="C71" s="57"/>
      <c r="D71" s="57"/>
      <c r="E71" s="57"/>
      <c r="F71" s="57"/>
      <c r="G71" s="57"/>
      <c r="H71" s="57"/>
      <c r="I71" s="57"/>
      <c r="J71" s="57"/>
      <c r="K71" s="57"/>
      <c r="L71" s="57"/>
      <c r="M71" s="57"/>
      <c r="N71" s="57"/>
      <c r="O71" s="57"/>
      <c r="P71" s="24"/>
      <c r="Q71" s="24"/>
      <c r="R71" s="6"/>
      <c r="S71" s="6"/>
      <c r="T71" s="6"/>
      <c r="U71" s="6"/>
      <c r="V71" s="6"/>
      <c r="W71" s="6"/>
      <c r="X71" s="6"/>
      <c r="Y71" s="6"/>
      <c r="Z71" s="6"/>
      <c r="AA71" s="68"/>
      <c r="AB71" s="68"/>
      <c r="AC71" s="6"/>
      <c r="AD71" s="95"/>
      <c r="AE71" s="99"/>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row>
    <row r="72" spans="1:252" s="96" customFormat="1" ht="15" hidden="1">
      <c r="A72" s="6"/>
      <c r="B72" s="57"/>
      <c r="C72" s="57"/>
      <c r="D72" s="57"/>
      <c r="E72" s="57"/>
      <c r="F72" s="57"/>
      <c r="G72" s="57"/>
      <c r="H72" s="57"/>
      <c r="I72" s="57"/>
      <c r="J72" s="57"/>
      <c r="K72" s="57"/>
      <c r="L72" s="57"/>
      <c r="M72" s="57"/>
      <c r="N72" s="57"/>
      <c r="O72" s="57"/>
      <c r="P72" s="24"/>
      <c r="Q72" s="24"/>
      <c r="R72" s="6"/>
      <c r="S72" s="6"/>
      <c r="T72" s="6"/>
      <c r="U72" s="6"/>
      <c r="V72" s="6"/>
      <c r="W72" s="6"/>
      <c r="X72" s="6"/>
      <c r="Y72" s="6"/>
      <c r="Z72" s="6"/>
      <c r="AA72" s="68"/>
      <c r="AB72" s="68"/>
      <c r="AC72" s="6"/>
      <c r="AD72" s="95"/>
      <c r="AE72" s="99"/>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row>
    <row r="73" spans="1:252" s="96" customFormat="1" ht="15" hidden="1">
      <c r="A73" s="6"/>
      <c r="B73" s="57"/>
      <c r="C73" s="57"/>
      <c r="D73" s="57"/>
      <c r="E73" s="57"/>
      <c r="F73" s="57"/>
      <c r="G73" s="57"/>
      <c r="H73" s="57"/>
      <c r="I73" s="57"/>
      <c r="J73" s="57"/>
      <c r="K73" s="57"/>
      <c r="L73" s="57"/>
      <c r="M73" s="57"/>
      <c r="N73" s="57"/>
      <c r="O73" s="57"/>
      <c r="P73" s="24"/>
      <c r="Q73" s="24"/>
      <c r="R73" s="6"/>
      <c r="S73" s="6"/>
      <c r="T73" s="6"/>
      <c r="U73" s="6"/>
      <c r="V73" s="6"/>
      <c r="W73" s="6"/>
      <c r="X73" s="6"/>
      <c r="Y73" s="6"/>
      <c r="Z73" s="6"/>
      <c r="AA73" s="68"/>
      <c r="AB73" s="68"/>
      <c r="AC73" s="6"/>
      <c r="AD73" s="95"/>
      <c r="AE73" s="99"/>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c r="HR73" s="3"/>
      <c r="HS73" s="3"/>
      <c r="HT73" s="3"/>
      <c r="HU73" s="3"/>
      <c r="HV73" s="3"/>
      <c r="HW73" s="3"/>
      <c r="HX73" s="3"/>
      <c r="HY73" s="3"/>
      <c r="HZ73" s="3"/>
      <c r="IA73" s="3"/>
      <c r="IB73" s="3"/>
      <c r="IC73" s="3"/>
      <c r="ID73" s="3"/>
      <c r="IE73" s="3"/>
      <c r="IF73" s="3"/>
      <c r="IG73" s="3"/>
      <c r="IH73" s="3"/>
      <c r="II73" s="3"/>
      <c r="IJ73" s="3"/>
      <c r="IK73" s="3"/>
      <c r="IL73" s="3"/>
      <c r="IM73" s="3"/>
      <c r="IN73" s="3"/>
      <c r="IO73" s="3"/>
      <c r="IP73" s="3"/>
      <c r="IQ73" s="3"/>
      <c r="IR73" s="3"/>
    </row>
    <row r="74" spans="1:252" s="96" customFormat="1" ht="15" hidden="1">
      <c r="A74" s="6"/>
      <c r="B74" s="57"/>
      <c r="C74" s="57"/>
      <c r="D74" s="57"/>
      <c r="E74" s="57"/>
      <c r="F74" s="57"/>
      <c r="G74" s="57"/>
      <c r="H74" s="57"/>
      <c r="I74" s="57"/>
      <c r="J74" s="57"/>
      <c r="K74" s="57"/>
      <c r="L74" s="57"/>
      <c r="M74" s="57"/>
      <c r="N74" s="57"/>
      <c r="O74" s="57"/>
      <c r="P74" s="24"/>
      <c r="Q74" s="24"/>
      <c r="R74" s="6"/>
      <c r="S74" s="6"/>
      <c r="T74" s="6"/>
      <c r="U74" s="6"/>
      <c r="V74" s="6"/>
      <c r="W74" s="6"/>
      <c r="X74" s="6"/>
      <c r="Y74" s="6"/>
      <c r="Z74" s="6"/>
      <c r="AA74" s="68"/>
      <c r="AB74" s="68"/>
      <c r="AC74" s="6"/>
      <c r="AD74" s="95"/>
      <c r="AE74" s="99"/>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row>
    <row r="75" spans="1:252" s="96" customFormat="1" ht="15" hidden="1">
      <c r="A75" s="6"/>
      <c r="B75" s="57"/>
      <c r="C75" s="57"/>
      <c r="D75" s="57"/>
      <c r="E75" s="57"/>
      <c r="F75" s="57"/>
      <c r="G75" s="57"/>
      <c r="H75" s="57"/>
      <c r="I75" s="57"/>
      <c r="J75" s="57"/>
      <c r="K75" s="57"/>
      <c r="L75" s="57"/>
      <c r="M75" s="57"/>
      <c r="N75" s="57"/>
      <c r="O75" s="57"/>
      <c r="P75" s="24"/>
      <c r="Q75" s="24"/>
      <c r="R75" s="6"/>
      <c r="S75" s="6"/>
      <c r="T75" s="6"/>
      <c r="U75" s="6"/>
      <c r="V75" s="6"/>
      <c r="W75" s="6"/>
      <c r="X75" s="6"/>
      <c r="Y75" s="6"/>
      <c r="Z75" s="6"/>
      <c r="AA75" s="68"/>
      <c r="AB75" s="68"/>
      <c r="AC75" s="6"/>
      <c r="AD75" s="95"/>
      <c r="AE75" s="99"/>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row>
    <row r="76" spans="1:252" s="96" customFormat="1" ht="15" hidden="1">
      <c r="A76" s="6"/>
      <c r="B76" s="57"/>
      <c r="C76" s="57"/>
      <c r="D76" s="57"/>
      <c r="E76" s="57"/>
      <c r="F76" s="57"/>
      <c r="G76" s="57"/>
      <c r="H76" s="57"/>
      <c r="I76" s="57"/>
      <c r="J76" s="57"/>
      <c r="K76" s="57"/>
      <c r="L76" s="57"/>
      <c r="M76" s="57"/>
      <c r="N76" s="57"/>
      <c r="O76" s="57"/>
      <c r="P76" s="24"/>
      <c r="Q76" s="24"/>
      <c r="R76" s="6"/>
      <c r="S76" s="6"/>
      <c r="T76" s="6"/>
      <c r="U76" s="6"/>
      <c r="V76" s="6"/>
      <c r="W76" s="6"/>
      <c r="X76" s="6"/>
      <c r="Y76" s="6"/>
      <c r="Z76" s="6"/>
      <c r="AA76" s="68"/>
      <c r="AB76" s="68"/>
      <c r="AC76" s="6"/>
      <c r="AD76" s="95"/>
      <c r="AE76" s="99"/>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row>
    <row r="77" spans="1:252" s="96" customFormat="1" ht="15" hidden="1">
      <c r="A77" s="6"/>
      <c r="B77" s="57"/>
      <c r="C77" s="57"/>
      <c r="D77" s="57"/>
      <c r="E77" s="57"/>
      <c r="F77" s="57"/>
      <c r="G77" s="57"/>
      <c r="H77" s="57"/>
      <c r="I77" s="57"/>
      <c r="J77" s="57"/>
      <c r="K77" s="57"/>
      <c r="L77" s="57"/>
      <c r="M77" s="57"/>
      <c r="N77" s="57"/>
      <c r="O77" s="57"/>
      <c r="P77" s="24"/>
      <c r="Q77" s="24"/>
      <c r="R77" s="6"/>
      <c r="S77" s="6"/>
      <c r="T77" s="6"/>
      <c r="U77" s="6"/>
      <c r="V77" s="6"/>
      <c r="W77" s="6"/>
      <c r="X77" s="6"/>
      <c r="Y77" s="6"/>
      <c r="Z77" s="6"/>
      <c r="AA77" s="68"/>
      <c r="AB77" s="68"/>
      <c r="AC77" s="6"/>
      <c r="AD77" s="95"/>
      <c r="AE77" s="99"/>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c r="HF77" s="3"/>
      <c r="HG77" s="3"/>
      <c r="HH77" s="3"/>
      <c r="HI77" s="3"/>
      <c r="HJ77" s="3"/>
      <c r="HK77" s="3"/>
      <c r="HL77" s="3"/>
      <c r="HM77" s="3"/>
      <c r="HN77" s="3"/>
      <c r="HO77" s="3"/>
      <c r="HP77" s="3"/>
      <c r="HQ77" s="3"/>
      <c r="HR77" s="3"/>
      <c r="HS77" s="3"/>
      <c r="HT77" s="3"/>
      <c r="HU77" s="3"/>
      <c r="HV77" s="3"/>
      <c r="HW77" s="3"/>
      <c r="HX77" s="3"/>
      <c r="HY77" s="3"/>
      <c r="HZ77" s="3"/>
      <c r="IA77" s="3"/>
      <c r="IB77" s="3"/>
      <c r="IC77" s="3"/>
      <c r="ID77" s="3"/>
      <c r="IE77" s="3"/>
      <c r="IF77" s="3"/>
      <c r="IG77" s="3"/>
      <c r="IH77" s="3"/>
      <c r="II77" s="3"/>
      <c r="IJ77" s="3"/>
      <c r="IK77" s="3"/>
      <c r="IL77" s="3"/>
      <c r="IM77" s="3"/>
      <c r="IN77" s="3"/>
      <c r="IO77" s="3"/>
      <c r="IP77" s="3"/>
      <c r="IQ77" s="3"/>
      <c r="IR77" s="3"/>
    </row>
    <row r="78" spans="1:252" s="96" customFormat="1" ht="15" hidden="1">
      <c r="A78" s="6"/>
      <c r="B78" s="57"/>
      <c r="C78" s="57"/>
      <c r="D78" s="57"/>
      <c r="E78" s="57"/>
      <c r="F78" s="57"/>
      <c r="G78" s="57"/>
      <c r="H78" s="57"/>
      <c r="I78" s="57"/>
      <c r="J78" s="57"/>
      <c r="K78" s="57"/>
      <c r="L78" s="57"/>
      <c r="M78" s="57"/>
      <c r="N78" s="57"/>
      <c r="O78" s="57"/>
      <c r="P78" s="24"/>
      <c r="Q78" s="24"/>
      <c r="R78" s="6"/>
      <c r="S78" s="6"/>
      <c r="T78" s="6"/>
      <c r="U78" s="6"/>
      <c r="V78" s="6"/>
      <c r="W78" s="6"/>
      <c r="X78" s="6"/>
      <c r="Y78" s="6"/>
      <c r="Z78" s="6"/>
      <c r="AA78" s="68"/>
      <c r="AB78" s="68"/>
      <c r="AC78" s="6"/>
      <c r="AD78" s="95"/>
      <c r="AE78" s="99"/>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c r="HF78" s="3"/>
      <c r="HG78" s="3"/>
      <c r="HH78" s="3"/>
      <c r="HI78" s="3"/>
      <c r="HJ78" s="3"/>
      <c r="HK78" s="3"/>
      <c r="HL78" s="3"/>
      <c r="HM78" s="3"/>
      <c r="HN78" s="3"/>
      <c r="HO78" s="3"/>
      <c r="HP78" s="3"/>
      <c r="HQ78" s="3"/>
      <c r="HR78" s="3"/>
      <c r="HS78" s="3"/>
      <c r="HT78" s="3"/>
      <c r="HU78" s="3"/>
      <c r="HV78" s="3"/>
      <c r="HW78" s="3"/>
      <c r="HX78" s="3"/>
      <c r="HY78" s="3"/>
      <c r="HZ78" s="3"/>
      <c r="IA78" s="3"/>
      <c r="IB78" s="3"/>
      <c r="IC78" s="3"/>
      <c r="ID78" s="3"/>
      <c r="IE78" s="3"/>
      <c r="IF78" s="3"/>
      <c r="IG78" s="3"/>
      <c r="IH78" s="3"/>
      <c r="II78" s="3"/>
      <c r="IJ78" s="3"/>
      <c r="IK78" s="3"/>
      <c r="IL78" s="3"/>
      <c r="IM78" s="3"/>
      <c r="IN78" s="3"/>
      <c r="IO78" s="3"/>
      <c r="IP78" s="3"/>
      <c r="IQ78" s="3"/>
      <c r="IR78" s="3"/>
    </row>
    <row r="79" spans="1:252" s="96" customFormat="1" ht="15" hidden="1">
      <c r="A79" s="6"/>
      <c r="B79" s="57"/>
      <c r="C79" s="57"/>
      <c r="D79" s="57"/>
      <c r="E79" s="57"/>
      <c r="F79" s="57"/>
      <c r="G79" s="57"/>
      <c r="H79" s="57"/>
      <c r="I79" s="57"/>
      <c r="J79" s="57"/>
      <c r="K79" s="57"/>
      <c r="L79" s="57"/>
      <c r="M79" s="57"/>
      <c r="N79" s="57"/>
      <c r="O79" s="57"/>
      <c r="P79" s="24"/>
      <c r="Q79" s="24"/>
      <c r="R79" s="6"/>
      <c r="S79" s="6"/>
      <c r="T79" s="6"/>
      <c r="U79" s="6"/>
      <c r="V79" s="6"/>
      <c r="W79" s="6"/>
      <c r="X79" s="6"/>
      <c r="Y79" s="6"/>
      <c r="Z79" s="6"/>
      <c r="AA79" s="68"/>
      <c r="AB79" s="68"/>
      <c r="AC79" s="6"/>
      <c r="AD79" s="95"/>
      <c r="AE79" s="99"/>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c r="HF79" s="3"/>
      <c r="HG79" s="3"/>
      <c r="HH79" s="3"/>
      <c r="HI79" s="3"/>
      <c r="HJ79" s="3"/>
      <c r="HK79" s="3"/>
      <c r="HL79" s="3"/>
      <c r="HM79" s="3"/>
      <c r="HN79" s="3"/>
      <c r="HO79" s="3"/>
      <c r="HP79" s="3"/>
      <c r="HQ79" s="3"/>
      <c r="HR79" s="3"/>
      <c r="HS79" s="3"/>
      <c r="HT79" s="3"/>
      <c r="HU79" s="3"/>
      <c r="HV79" s="3"/>
      <c r="HW79" s="3"/>
      <c r="HX79" s="3"/>
      <c r="HY79" s="3"/>
      <c r="HZ79" s="3"/>
      <c r="IA79" s="3"/>
      <c r="IB79" s="3"/>
      <c r="IC79" s="3"/>
      <c r="ID79" s="3"/>
      <c r="IE79" s="3"/>
      <c r="IF79" s="3"/>
      <c r="IG79" s="3"/>
      <c r="IH79" s="3"/>
      <c r="II79" s="3"/>
      <c r="IJ79" s="3"/>
      <c r="IK79" s="3"/>
      <c r="IL79" s="3"/>
      <c r="IM79" s="3"/>
      <c r="IN79" s="3"/>
      <c r="IO79" s="3"/>
      <c r="IP79" s="3"/>
      <c r="IQ79" s="3"/>
      <c r="IR79" s="3"/>
    </row>
    <row r="80" spans="1:252" s="96" customFormat="1" ht="15" hidden="1">
      <c r="A80" s="6"/>
      <c r="B80" s="57"/>
      <c r="C80" s="57"/>
      <c r="D80" s="57"/>
      <c r="E80" s="57"/>
      <c r="F80" s="57"/>
      <c r="G80" s="57"/>
      <c r="H80" s="57"/>
      <c r="I80" s="57"/>
      <c r="J80" s="57"/>
      <c r="K80" s="57"/>
      <c r="L80" s="57"/>
      <c r="M80" s="57"/>
      <c r="N80" s="57"/>
      <c r="O80" s="57"/>
      <c r="P80" s="24"/>
      <c r="Q80" s="24"/>
      <c r="R80" s="6"/>
      <c r="S80" s="6"/>
      <c r="T80" s="6"/>
      <c r="U80" s="6"/>
      <c r="V80" s="6"/>
      <c r="W80" s="6"/>
      <c r="X80" s="6"/>
      <c r="Y80" s="6"/>
      <c r="Z80" s="6"/>
      <c r="AA80" s="68"/>
      <c r="AB80" s="68"/>
      <c r="AC80" s="6"/>
      <c r="AD80" s="95"/>
      <c r="AE80" s="99"/>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c r="HF80" s="3"/>
      <c r="HG80" s="3"/>
      <c r="HH80" s="3"/>
      <c r="HI80" s="3"/>
      <c r="HJ80" s="3"/>
      <c r="HK80" s="3"/>
      <c r="HL80" s="3"/>
      <c r="HM80" s="3"/>
      <c r="HN80" s="3"/>
      <c r="HO80" s="3"/>
      <c r="HP80" s="3"/>
      <c r="HQ80" s="3"/>
      <c r="HR80" s="3"/>
      <c r="HS80" s="3"/>
      <c r="HT80" s="3"/>
      <c r="HU80" s="3"/>
      <c r="HV80" s="3"/>
      <c r="HW80" s="3"/>
      <c r="HX80" s="3"/>
      <c r="HY80" s="3"/>
      <c r="HZ80" s="3"/>
      <c r="IA80" s="3"/>
      <c r="IB80" s="3"/>
      <c r="IC80" s="3"/>
      <c r="ID80" s="3"/>
      <c r="IE80" s="3"/>
      <c r="IF80" s="3"/>
      <c r="IG80" s="3"/>
      <c r="IH80" s="3"/>
      <c r="II80" s="3"/>
      <c r="IJ80" s="3"/>
      <c r="IK80" s="3"/>
      <c r="IL80" s="3"/>
      <c r="IM80" s="3"/>
      <c r="IN80" s="3"/>
      <c r="IO80" s="3"/>
      <c r="IP80" s="3"/>
      <c r="IQ80" s="3"/>
      <c r="IR80" s="3"/>
    </row>
  </sheetData>
  <sheetProtection password="EE1F" sheet="1" objects="1" scenarios="1" selectLockedCells="1"/>
  <protectedRanges>
    <protectedRange sqref="M7 F12 I13:M13 F16 E17 I17:M17 F22:H52 L23:P52 C22:C52" name="Eingabebereich"/>
  </protectedRanges>
  <mergeCells count="47">
    <mergeCell ref="L21:P21"/>
    <mergeCell ref="B2:H2"/>
    <mergeCell ref="I2:J2"/>
    <mergeCell ref="K2:L2"/>
    <mergeCell ref="E5:H5"/>
    <mergeCell ref="M5:O5"/>
    <mergeCell ref="E7:H7"/>
    <mergeCell ref="M7:O7"/>
    <mergeCell ref="E17:F17"/>
    <mergeCell ref="C20:E20"/>
    <mergeCell ref="F20:H20"/>
    <mergeCell ref="I20:K20"/>
    <mergeCell ref="L20:P20"/>
    <mergeCell ref="L33:P33"/>
    <mergeCell ref="L22:P22"/>
    <mergeCell ref="L23:P23"/>
    <mergeCell ref="L24:P24"/>
    <mergeCell ref="L25:P25"/>
    <mergeCell ref="L26:P26"/>
    <mergeCell ref="L27:P27"/>
    <mergeCell ref="L28:P28"/>
    <mergeCell ref="L29:P29"/>
    <mergeCell ref="L30:P30"/>
    <mergeCell ref="L31:P31"/>
    <mergeCell ref="L32:P32"/>
    <mergeCell ref="L45:P45"/>
    <mergeCell ref="L34:P34"/>
    <mergeCell ref="L35:P35"/>
    <mergeCell ref="L36:P36"/>
    <mergeCell ref="L37:P37"/>
    <mergeCell ref="L38:P38"/>
    <mergeCell ref="L39:P39"/>
    <mergeCell ref="L40:P40"/>
    <mergeCell ref="L41:P41"/>
    <mergeCell ref="L42:P42"/>
    <mergeCell ref="L43:P43"/>
    <mergeCell ref="L44:P44"/>
    <mergeCell ref="L52:P52"/>
    <mergeCell ref="K55:O55"/>
    <mergeCell ref="C60:G60"/>
    <mergeCell ref="L60:P60"/>
    <mergeCell ref="L46:P46"/>
    <mergeCell ref="L47:P47"/>
    <mergeCell ref="L48:P48"/>
    <mergeCell ref="L49:P49"/>
    <mergeCell ref="L50:P50"/>
    <mergeCell ref="L51:P51"/>
  </mergeCells>
  <conditionalFormatting sqref="L23:L39 L44:L52 C22:I52">
    <cfRule type="expression" dxfId="1103" priority="243" stopIfTrue="1">
      <formula>OR(($A22="Samstag"),($A22="Sonntag"),($AA22=TRUE()))</formula>
    </cfRule>
  </conditionalFormatting>
  <conditionalFormatting sqref="B22:B52">
    <cfRule type="expression" dxfId="1102" priority="119" stopIfTrue="1">
      <formula>$AA22=TRUE()</formula>
    </cfRule>
    <cfRule type="expression" dxfId="1101" priority="123" stopIfTrue="1">
      <formula>OR(($A22="Samstag"),($A22="Sonntag"))</formula>
    </cfRule>
    <cfRule type="expression" dxfId="1100" priority="124" stopIfTrue="1">
      <formula>AND($E$17&lt;&gt;"",$B22&gt;=$E$17)</formula>
    </cfRule>
  </conditionalFormatting>
  <conditionalFormatting sqref="F32:H32 L23:L39">
    <cfRule type="expression" dxfId="1099" priority="242" stopIfTrue="1">
      <formula>OR(($A23="Samstag"),($A23="Sonntag"))</formula>
    </cfRule>
  </conditionalFormatting>
  <conditionalFormatting sqref="F32:H32">
    <cfRule type="expression" dxfId="1098" priority="241" stopIfTrue="1">
      <formula>OR(($A32="Samstag"),($A32="Sonntag"))</formula>
    </cfRule>
  </conditionalFormatting>
  <conditionalFormatting sqref="F52:H52">
    <cfRule type="expression" dxfId="1097" priority="230" stopIfTrue="1">
      <formula>OR(($A52="Samstag"),($A52="Sonntag"))</formula>
    </cfRule>
  </conditionalFormatting>
  <conditionalFormatting sqref="F52:H52">
    <cfRule type="expression" dxfId="1096" priority="229" stopIfTrue="1">
      <formula>OR(($A52="Samstag"),($A52="Sonntag"))</formula>
    </cfRule>
  </conditionalFormatting>
  <conditionalFormatting sqref="F46:H46">
    <cfRule type="expression" dxfId="1095" priority="233" stopIfTrue="1">
      <formula>OR(($A46="Samstag"),($A46="Sonntag"))</formula>
    </cfRule>
  </conditionalFormatting>
  <conditionalFormatting sqref="F32:H32">
    <cfRule type="expression" dxfId="1094" priority="237" stopIfTrue="1">
      <formula>OR(($A32="Samstag"),($A32="Sonntag"))</formula>
    </cfRule>
  </conditionalFormatting>
  <conditionalFormatting sqref="F24:H25">
    <cfRule type="expression" dxfId="1093" priority="240" stopIfTrue="1">
      <formula>OR(($A24="Samstag"),($A24="Sonntag"))</formula>
    </cfRule>
  </conditionalFormatting>
  <conditionalFormatting sqref="F24:H24">
    <cfRule type="expression" dxfId="1092" priority="239" stopIfTrue="1">
      <formula>OR(($A24="Samstag"),($A24="Sonntag"))</formula>
    </cfRule>
  </conditionalFormatting>
  <conditionalFormatting sqref="F25:H25">
    <cfRule type="expression" dxfId="1091" priority="238" stopIfTrue="1">
      <formula>OR(($A25="Samstag"),($A25="Sonntag"))</formula>
    </cfRule>
  </conditionalFormatting>
  <conditionalFormatting sqref="F39:H39">
    <cfRule type="expression" dxfId="1090" priority="235" stopIfTrue="1">
      <formula>OR(($A39="Samstag"),($A39="Sonntag"))</formula>
    </cfRule>
  </conditionalFormatting>
  <conditionalFormatting sqref="F39:H39">
    <cfRule type="expression" dxfId="1089" priority="236" stopIfTrue="1">
      <formula>OR(($A39="Samstag"),($A39="Sonntag"))</formula>
    </cfRule>
  </conditionalFormatting>
  <conditionalFormatting sqref="F39:H39">
    <cfRule type="expression" dxfId="1088" priority="234" stopIfTrue="1">
      <formula>OR(($A39="Samstag"),($A39="Sonntag"))</formula>
    </cfRule>
  </conditionalFormatting>
  <conditionalFormatting sqref="F46:H46">
    <cfRule type="expression" dxfId="1087" priority="232" stopIfTrue="1">
      <formula>OR(($A46="Samstag"),($A46="Sonntag"))</formula>
    </cfRule>
  </conditionalFormatting>
  <conditionalFormatting sqref="F46:H46">
    <cfRule type="expression" dxfId="1086" priority="231" stopIfTrue="1">
      <formula>OR(($A46="Samstag"),($A46="Sonntag"))</formula>
    </cfRule>
  </conditionalFormatting>
  <conditionalFormatting sqref="F22:H52">
    <cfRule type="expression" dxfId="1085" priority="228" stopIfTrue="1">
      <formula>OR(($A22="Samstag"),($A22="Sonntag"))</formula>
    </cfRule>
  </conditionalFormatting>
  <conditionalFormatting sqref="F22:H52">
    <cfRule type="expression" dxfId="1084" priority="227" stopIfTrue="1">
      <formula>OR(($A22="Samstag"),($A22="Sonntag"))</formula>
    </cfRule>
  </conditionalFormatting>
  <conditionalFormatting sqref="G23">
    <cfRule type="expression" dxfId="1083" priority="226" stopIfTrue="1">
      <formula>OR(($A23="Samstag"),($A23="Sonntag"))</formula>
    </cfRule>
  </conditionalFormatting>
  <conditionalFormatting sqref="G23">
    <cfRule type="expression" dxfId="1082" priority="225" stopIfTrue="1">
      <formula>OR(($A23="Samstag"),($A23="Sonntag"))</formula>
    </cfRule>
  </conditionalFormatting>
  <conditionalFormatting sqref="F31:H31">
    <cfRule type="expression" dxfId="1081" priority="224" stopIfTrue="1">
      <formula>OR(($A31="Samstag"),($A31="Sonntag"))</formula>
    </cfRule>
  </conditionalFormatting>
  <conditionalFormatting sqref="F31:H31">
    <cfRule type="expression" dxfId="1080" priority="223" stopIfTrue="1">
      <formula>OR(($A31="Samstag"),($A31="Sonntag"))</formula>
    </cfRule>
  </conditionalFormatting>
  <conditionalFormatting sqref="F38:H38">
    <cfRule type="expression" dxfId="1079" priority="222" stopIfTrue="1">
      <formula>OR(($A38="Samstag"),($A38="Sonntag"))</formula>
    </cfRule>
  </conditionalFormatting>
  <conditionalFormatting sqref="F38:H38">
    <cfRule type="expression" dxfId="1078" priority="221" stopIfTrue="1">
      <formula>OR(($A38="Samstag"),($A38="Sonntag"))</formula>
    </cfRule>
  </conditionalFormatting>
  <conditionalFormatting sqref="F45:H45">
    <cfRule type="expression" dxfId="1077" priority="220" stopIfTrue="1">
      <formula>OR(($A45="Samstag"),($A45="Sonntag"))</formula>
    </cfRule>
  </conditionalFormatting>
  <conditionalFormatting sqref="F45:H45">
    <cfRule type="expression" dxfId="1076" priority="219" stopIfTrue="1">
      <formula>OR(($A45="Samstag"),($A45="Sonntag"))</formula>
    </cfRule>
  </conditionalFormatting>
  <conditionalFormatting sqref="G26:G30">
    <cfRule type="expression" dxfId="1075" priority="218" stopIfTrue="1">
      <formula>OR(($A26="Samstag"),($A26="Sonntag"))</formula>
    </cfRule>
  </conditionalFormatting>
  <conditionalFormatting sqref="G26:G30">
    <cfRule type="expression" dxfId="1074" priority="217" stopIfTrue="1">
      <formula>OR(($A26="Samstag"),($A26="Sonntag"))</formula>
    </cfRule>
  </conditionalFormatting>
  <conditionalFormatting sqref="G33:G37">
    <cfRule type="expression" dxfId="1073" priority="216" stopIfTrue="1">
      <formula>OR(($A33="Samstag"),($A33="Sonntag"))</formula>
    </cfRule>
  </conditionalFormatting>
  <conditionalFormatting sqref="G33:G37">
    <cfRule type="expression" dxfId="1072" priority="215" stopIfTrue="1">
      <formula>OR(($A33="Samstag"),($A33="Sonntag"))</formula>
    </cfRule>
  </conditionalFormatting>
  <conditionalFormatting sqref="G40:G44">
    <cfRule type="expression" dxfId="1071" priority="214" stopIfTrue="1">
      <formula>OR(($A40="Samstag"),($A40="Sonntag"))</formula>
    </cfRule>
  </conditionalFormatting>
  <conditionalFormatting sqref="G40:G44">
    <cfRule type="expression" dxfId="1070" priority="213" stopIfTrue="1">
      <formula>OR(($A40="Samstag"),($A40="Sonntag"))</formula>
    </cfRule>
  </conditionalFormatting>
  <conditionalFormatting sqref="G47:G51">
    <cfRule type="expression" dxfId="1069" priority="212" stopIfTrue="1">
      <formula>OR(($A47="Samstag"),($A47="Sonntag"))</formula>
    </cfRule>
  </conditionalFormatting>
  <conditionalFormatting sqref="G47:G51">
    <cfRule type="expression" dxfId="1068" priority="211" stopIfTrue="1">
      <formula>OR(($A47="Samstag"),($A47="Sonntag"))</formula>
    </cfRule>
  </conditionalFormatting>
  <conditionalFormatting sqref="F23:H23">
    <cfRule type="expression" dxfId="1067" priority="210" stopIfTrue="1">
      <formula>OR(($A23="Samstag"),($A23="Sonntag"))</formula>
    </cfRule>
  </conditionalFormatting>
  <conditionalFormatting sqref="F23:H23">
    <cfRule type="expression" dxfId="1066" priority="209" stopIfTrue="1">
      <formula>OR(($A23="Samstag"),($A23="Sonntag"))</formula>
    </cfRule>
  </conditionalFormatting>
  <conditionalFormatting sqref="F26:H30">
    <cfRule type="expression" dxfId="1065" priority="208" stopIfTrue="1">
      <formula>OR(($A26="Samstag"),($A26="Sonntag"))</formula>
    </cfRule>
  </conditionalFormatting>
  <conditionalFormatting sqref="F26:H30">
    <cfRule type="expression" dxfId="1064" priority="207" stopIfTrue="1">
      <formula>OR(($A26="Samstag"),($A26="Sonntag"))</formula>
    </cfRule>
  </conditionalFormatting>
  <conditionalFormatting sqref="F33:H37">
    <cfRule type="expression" dxfId="1063" priority="206" stopIfTrue="1">
      <formula>OR(($A33="Samstag"),($A33="Sonntag"))</formula>
    </cfRule>
  </conditionalFormatting>
  <conditionalFormatting sqref="F33:H37">
    <cfRule type="expression" dxfId="1062" priority="205" stopIfTrue="1">
      <formula>OR(($A33="Samstag"),($A33="Sonntag"))</formula>
    </cfRule>
  </conditionalFormatting>
  <conditionalFormatting sqref="F40:H44">
    <cfRule type="expression" dxfId="1061" priority="204" stopIfTrue="1">
      <formula>OR(($A40="Samstag"),($A40="Sonntag"))</formula>
    </cfRule>
  </conditionalFormatting>
  <conditionalFormatting sqref="F40:H44">
    <cfRule type="expression" dxfId="1060" priority="203" stopIfTrue="1">
      <formula>OR(($A40="Samstag"),($A40="Sonntag"))</formula>
    </cfRule>
  </conditionalFormatting>
  <conditionalFormatting sqref="H40:H44">
    <cfRule type="expression" dxfId="1059" priority="194" stopIfTrue="1">
      <formula>OR(($A40="Samstag"),($A40="Sonntag"))</formula>
    </cfRule>
  </conditionalFormatting>
  <conditionalFormatting sqref="H40:H44">
    <cfRule type="expression" dxfId="1058" priority="193" stopIfTrue="1">
      <formula>OR(($A40="Samstag"),($A40="Sonntag"))</formula>
    </cfRule>
  </conditionalFormatting>
  <conditionalFormatting sqref="F47:H51">
    <cfRule type="expression" dxfId="1057" priority="202" stopIfTrue="1">
      <formula>OR(($A47="Samstag"),($A47="Sonntag"))</formula>
    </cfRule>
  </conditionalFormatting>
  <conditionalFormatting sqref="F47:H51">
    <cfRule type="expression" dxfId="1056" priority="201" stopIfTrue="1">
      <formula>OR(($A47="Samstag"),($A47="Sonntag"))</formula>
    </cfRule>
  </conditionalFormatting>
  <conditionalFormatting sqref="H23">
    <cfRule type="expression" dxfId="1055" priority="200" stopIfTrue="1">
      <formula>OR(($A23="Samstag"),($A23="Sonntag"))</formula>
    </cfRule>
  </conditionalFormatting>
  <conditionalFormatting sqref="H23">
    <cfRule type="expression" dxfId="1054" priority="199" stopIfTrue="1">
      <formula>OR(($A23="Samstag"),($A23="Sonntag"))</formula>
    </cfRule>
  </conditionalFormatting>
  <conditionalFormatting sqref="H26:H30">
    <cfRule type="expression" dxfId="1053" priority="198" stopIfTrue="1">
      <formula>OR(($A26="Samstag"),($A26="Sonntag"))</formula>
    </cfRule>
  </conditionalFormatting>
  <conditionalFormatting sqref="H26:H30">
    <cfRule type="expression" dxfId="1052" priority="197" stopIfTrue="1">
      <formula>OR(($A26="Samstag"),($A26="Sonntag"))</formula>
    </cfRule>
  </conditionalFormatting>
  <conditionalFormatting sqref="H33:H37">
    <cfRule type="expression" dxfId="1051" priority="196" stopIfTrue="1">
      <formula>OR(($A33="Samstag"),($A33="Sonntag"))</formula>
    </cfRule>
  </conditionalFormatting>
  <conditionalFormatting sqref="H33:H37">
    <cfRule type="expression" dxfId="1050" priority="195" stopIfTrue="1">
      <formula>OR(($A33="Samstag"),($A33="Sonntag"))</formula>
    </cfRule>
  </conditionalFormatting>
  <conditionalFormatting sqref="H47:H51">
    <cfRule type="expression" dxfId="1049" priority="192" stopIfTrue="1">
      <formula>OR(($A47="Samstag"),($A47="Sonntag"))</formula>
    </cfRule>
  </conditionalFormatting>
  <conditionalFormatting sqref="H47:H51">
    <cfRule type="expression" dxfId="1048" priority="191" stopIfTrue="1">
      <formula>OR(($A47="Samstag"),($A47="Sonntag"))</formula>
    </cfRule>
  </conditionalFormatting>
  <conditionalFormatting sqref="I22:I52">
    <cfRule type="expression" dxfId="1047" priority="176" stopIfTrue="1">
      <formula>OR(($A22="Samstag"),($A22="Sonntag"))</formula>
    </cfRule>
  </conditionalFormatting>
  <conditionalFormatting sqref="I22:I52">
    <cfRule type="expression" dxfId="1046" priority="175" stopIfTrue="1">
      <formula>OR(($A22="Samstag"),($A22="Sonntag"))</formula>
    </cfRule>
  </conditionalFormatting>
  <conditionalFormatting sqref="N13 N17">
    <cfRule type="cellIs" dxfId="1045" priority="125" stopIfTrue="1" operator="equal">
      <formula>0</formula>
    </cfRule>
  </conditionalFormatting>
  <conditionalFormatting sqref="N13">
    <cfRule type="cellIs" dxfId="1044" priority="245" stopIfTrue="1" operator="equal">
      <formula>$F$12</formula>
    </cfRule>
    <cfRule type="cellIs" dxfId="1043" priority="246" stopIfTrue="1" operator="notEqual">
      <formula>$F$12</formula>
    </cfRule>
  </conditionalFormatting>
  <conditionalFormatting sqref="N17">
    <cfRule type="cellIs" dxfId="1042" priority="126" stopIfTrue="1" operator="notEqual">
      <formula>$F$16</formula>
    </cfRule>
    <cfRule type="cellIs" dxfId="1041" priority="244" stopIfTrue="1" operator="equal">
      <formula>$F$16</formula>
    </cfRule>
  </conditionalFormatting>
  <conditionalFormatting sqref="I23:I52">
    <cfRule type="expression" dxfId="1040" priority="122" stopIfTrue="1">
      <formula>OR(($A23="Samstag"),($A23="Sonntag"))</formula>
    </cfRule>
  </conditionalFormatting>
  <conditionalFormatting sqref="I23:I52">
    <cfRule type="expression" dxfId="1039" priority="121" stopIfTrue="1">
      <formula>OR(($A23="Samstag"),($A23="Sonntag"))</formula>
    </cfRule>
  </conditionalFormatting>
  <conditionalFormatting sqref="K55:N55">
    <cfRule type="expression" dxfId="1038" priority="120" stopIfTrue="1">
      <formula>OR(($A55="Samstag"),($A55="Sonntag"))</formula>
    </cfRule>
  </conditionalFormatting>
  <conditionalFormatting sqref="G32">
    <cfRule type="expression" dxfId="1037" priority="118" stopIfTrue="1">
      <formula>OR(($A32="Samstag"),($A32="Sonntag"))</formula>
    </cfRule>
  </conditionalFormatting>
  <conditionalFormatting sqref="G32">
    <cfRule type="expression" dxfId="1036" priority="117" stopIfTrue="1">
      <formula>OR(($A32="Samstag"),($A32="Sonntag"))</formula>
    </cfRule>
  </conditionalFormatting>
  <conditionalFormatting sqref="G52">
    <cfRule type="expression" dxfId="1035" priority="106" stopIfTrue="1">
      <formula>OR(($A52="Samstag"),($A52="Sonntag"))</formula>
    </cfRule>
  </conditionalFormatting>
  <conditionalFormatting sqref="G52">
    <cfRule type="expression" dxfId="1034" priority="105" stopIfTrue="1">
      <formula>OR(($A52="Samstag"),($A52="Sonntag"))</formula>
    </cfRule>
  </conditionalFormatting>
  <conditionalFormatting sqref="G46">
    <cfRule type="expression" dxfId="1033" priority="109" stopIfTrue="1">
      <formula>OR(($A46="Samstag"),($A46="Sonntag"))</formula>
    </cfRule>
  </conditionalFormatting>
  <conditionalFormatting sqref="G32">
    <cfRule type="expression" dxfId="1032" priority="113" stopIfTrue="1">
      <formula>OR(($A32="Samstag"),($A32="Sonntag"))</formula>
    </cfRule>
  </conditionalFormatting>
  <conditionalFormatting sqref="G24:G25">
    <cfRule type="expression" dxfId="1031" priority="116" stopIfTrue="1">
      <formula>OR(($A24="Samstag"),($A24="Sonntag"))</formula>
    </cfRule>
  </conditionalFormatting>
  <conditionalFormatting sqref="G24">
    <cfRule type="expression" dxfId="1030" priority="115" stopIfTrue="1">
      <formula>OR(($A24="Samstag"),($A24="Sonntag"))</formula>
    </cfRule>
  </conditionalFormatting>
  <conditionalFormatting sqref="G25">
    <cfRule type="expression" dxfId="1029" priority="114" stopIfTrue="1">
      <formula>OR(($A25="Samstag"),($A25="Sonntag"))</formula>
    </cfRule>
  </conditionalFormatting>
  <conditionalFormatting sqref="G39">
    <cfRule type="expression" dxfId="1028" priority="111" stopIfTrue="1">
      <formula>OR(($A39="Samstag"),($A39="Sonntag"))</formula>
    </cfRule>
  </conditionalFormatting>
  <conditionalFormatting sqref="G39">
    <cfRule type="expression" dxfId="1027" priority="112" stopIfTrue="1">
      <formula>OR(($A39="Samstag"),($A39="Sonntag"))</formula>
    </cfRule>
  </conditionalFormatting>
  <conditionalFormatting sqref="G39">
    <cfRule type="expression" dxfId="1026" priority="110" stopIfTrue="1">
      <formula>OR(($A39="Samstag"),($A39="Sonntag"))</formula>
    </cfRule>
  </conditionalFormatting>
  <conditionalFormatting sqref="G46">
    <cfRule type="expression" dxfId="1025" priority="108" stopIfTrue="1">
      <formula>OR(($A46="Samstag"),($A46="Sonntag"))</formula>
    </cfRule>
  </conditionalFormatting>
  <conditionalFormatting sqref="G46">
    <cfRule type="expression" dxfId="1024" priority="107" stopIfTrue="1">
      <formula>OR(($A46="Samstag"),($A46="Sonntag"))</formula>
    </cfRule>
  </conditionalFormatting>
  <conditionalFormatting sqref="F22:H52">
    <cfRule type="expression" dxfId="1023" priority="104" stopIfTrue="1">
      <formula>OR(($A22="Samstag"),($A22="Sonntag"))</formula>
    </cfRule>
  </conditionalFormatting>
  <conditionalFormatting sqref="F22:H52">
    <cfRule type="expression" dxfId="1022" priority="103" stopIfTrue="1">
      <formula>OR(($A22="Samstag"),($A22="Sonntag"))</formula>
    </cfRule>
  </conditionalFormatting>
  <conditionalFormatting sqref="G31">
    <cfRule type="expression" dxfId="1021" priority="102" stopIfTrue="1">
      <formula>OR(($A31="Samstag"),($A31="Sonntag"))</formula>
    </cfRule>
  </conditionalFormatting>
  <conditionalFormatting sqref="G31">
    <cfRule type="expression" dxfId="1020" priority="101" stopIfTrue="1">
      <formula>OR(($A31="Samstag"),($A31="Sonntag"))</formula>
    </cfRule>
  </conditionalFormatting>
  <conditionalFormatting sqref="G38">
    <cfRule type="expression" dxfId="1019" priority="100" stopIfTrue="1">
      <formula>OR(($A38="Samstag"),($A38="Sonntag"))</formula>
    </cfRule>
  </conditionalFormatting>
  <conditionalFormatting sqref="G38">
    <cfRule type="expression" dxfId="1018" priority="99" stopIfTrue="1">
      <formula>OR(($A38="Samstag"),($A38="Sonntag"))</formula>
    </cfRule>
  </conditionalFormatting>
  <conditionalFormatting sqref="G45">
    <cfRule type="expression" dxfId="1017" priority="98" stopIfTrue="1">
      <formula>OR(($A45="Samstag"),($A45="Sonntag"))</formula>
    </cfRule>
  </conditionalFormatting>
  <conditionalFormatting sqref="G45">
    <cfRule type="expression" dxfId="1016" priority="97" stopIfTrue="1">
      <formula>OR(($A45="Samstag"),($A45="Sonntag"))</formula>
    </cfRule>
  </conditionalFormatting>
  <conditionalFormatting sqref="G40:G44">
    <cfRule type="expression" dxfId="1015" priority="90" stopIfTrue="1">
      <formula>OR(($A40="Samstag"),($A40="Sonntag"))</formula>
    </cfRule>
  </conditionalFormatting>
  <conditionalFormatting sqref="G40:G44">
    <cfRule type="expression" dxfId="1014" priority="89" stopIfTrue="1">
      <formula>OR(($A40="Samstag"),($A40="Sonntag"))</formula>
    </cfRule>
  </conditionalFormatting>
  <conditionalFormatting sqref="G23">
    <cfRule type="expression" dxfId="1013" priority="96" stopIfTrue="1">
      <formula>OR(($A23="Samstag"),($A23="Sonntag"))</formula>
    </cfRule>
  </conditionalFormatting>
  <conditionalFormatting sqref="G23">
    <cfRule type="expression" dxfId="1012" priority="95" stopIfTrue="1">
      <formula>OR(($A23="Samstag"),($A23="Sonntag"))</formula>
    </cfRule>
  </conditionalFormatting>
  <conditionalFormatting sqref="G26:G30">
    <cfRule type="expression" dxfId="1011" priority="94" stopIfTrue="1">
      <formula>OR(($A26="Samstag"),($A26="Sonntag"))</formula>
    </cfRule>
  </conditionalFormatting>
  <conditionalFormatting sqref="G26:G30">
    <cfRule type="expression" dxfId="1010" priority="93" stopIfTrue="1">
      <formula>OR(($A26="Samstag"),($A26="Sonntag"))</formula>
    </cfRule>
  </conditionalFormatting>
  <conditionalFormatting sqref="G33:G37">
    <cfRule type="expression" dxfId="1009" priority="92" stopIfTrue="1">
      <formula>OR(($A33="Samstag"),($A33="Sonntag"))</formula>
    </cfRule>
  </conditionalFormatting>
  <conditionalFormatting sqref="G33:G37">
    <cfRule type="expression" dxfId="1008" priority="91" stopIfTrue="1">
      <formula>OR(($A33="Samstag"),($A33="Sonntag"))</formula>
    </cfRule>
  </conditionalFormatting>
  <conditionalFormatting sqref="G47:G51">
    <cfRule type="expression" dxfId="1007" priority="88" stopIfTrue="1">
      <formula>OR(($A47="Samstag"),($A47="Sonntag"))</formula>
    </cfRule>
  </conditionalFormatting>
  <conditionalFormatting sqref="G47:G51">
    <cfRule type="expression" dxfId="1006" priority="87" stopIfTrue="1">
      <formula>OR(($A47="Samstag"),($A47="Sonntag"))</formula>
    </cfRule>
  </conditionalFormatting>
  <conditionalFormatting sqref="H32">
    <cfRule type="expression" dxfId="1005" priority="86" stopIfTrue="1">
      <formula>OR(($A32="Samstag"),($A32="Sonntag"))</formula>
    </cfRule>
  </conditionalFormatting>
  <conditionalFormatting sqref="H32">
    <cfRule type="expression" dxfId="1004" priority="85" stopIfTrue="1">
      <formula>OR(($A32="Samstag"),($A32="Sonntag"))</formula>
    </cfRule>
  </conditionalFormatting>
  <conditionalFormatting sqref="H52">
    <cfRule type="expression" dxfId="1003" priority="74" stopIfTrue="1">
      <formula>OR(($A52="Samstag"),($A52="Sonntag"))</formula>
    </cfRule>
  </conditionalFormatting>
  <conditionalFormatting sqref="H52">
    <cfRule type="expression" dxfId="1002" priority="73" stopIfTrue="1">
      <formula>OR(($A52="Samstag"),($A52="Sonntag"))</formula>
    </cfRule>
  </conditionalFormatting>
  <conditionalFormatting sqref="H46">
    <cfRule type="expression" dxfId="1001" priority="77" stopIfTrue="1">
      <formula>OR(($A46="Samstag"),($A46="Sonntag"))</formula>
    </cfRule>
  </conditionalFormatting>
  <conditionalFormatting sqref="H32">
    <cfRule type="expression" dxfId="1000" priority="81" stopIfTrue="1">
      <formula>OR(($A32="Samstag"),($A32="Sonntag"))</formula>
    </cfRule>
  </conditionalFormatting>
  <conditionalFormatting sqref="H24:H25">
    <cfRule type="expression" dxfId="999" priority="84" stopIfTrue="1">
      <formula>OR(($A24="Samstag"),($A24="Sonntag"))</formula>
    </cfRule>
  </conditionalFormatting>
  <conditionalFormatting sqref="H24">
    <cfRule type="expression" dxfId="998" priority="83" stopIfTrue="1">
      <formula>OR(($A24="Samstag"),($A24="Sonntag"))</formula>
    </cfRule>
  </conditionalFormatting>
  <conditionalFormatting sqref="H25">
    <cfRule type="expression" dxfId="997" priority="82" stopIfTrue="1">
      <formula>OR(($A25="Samstag"),($A25="Sonntag"))</formula>
    </cfRule>
  </conditionalFormatting>
  <conditionalFormatting sqref="H39">
    <cfRule type="expression" dxfId="996" priority="79" stopIfTrue="1">
      <formula>OR(($A39="Samstag"),($A39="Sonntag"))</formula>
    </cfRule>
  </conditionalFormatting>
  <conditionalFormatting sqref="H39">
    <cfRule type="expression" dxfId="995" priority="80" stopIfTrue="1">
      <formula>OR(($A39="Samstag"),($A39="Sonntag"))</formula>
    </cfRule>
  </conditionalFormatting>
  <conditionalFormatting sqref="H39">
    <cfRule type="expression" dxfId="994" priority="78" stopIfTrue="1">
      <formula>OR(($A39="Samstag"),($A39="Sonntag"))</formula>
    </cfRule>
  </conditionalFormatting>
  <conditionalFormatting sqref="H46">
    <cfRule type="expression" dxfId="993" priority="76" stopIfTrue="1">
      <formula>OR(($A46="Samstag"),($A46="Sonntag"))</formula>
    </cfRule>
  </conditionalFormatting>
  <conditionalFormatting sqref="H46">
    <cfRule type="expression" dxfId="992" priority="75" stopIfTrue="1">
      <formula>OR(($A46="Samstag"),($A46="Sonntag"))</formula>
    </cfRule>
  </conditionalFormatting>
  <conditionalFormatting sqref="H22:H52">
    <cfRule type="expression" dxfId="991" priority="72" stopIfTrue="1">
      <formula>OR(($A22="Samstag"),($A22="Sonntag"))</formula>
    </cfRule>
  </conditionalFormatting>
  <conditionalFormatting sqref="H22:H52">
    <cfRule type="expression" dxfId="990" priority="71" stopIfTrue="1">
      <formula>OR(($A22="Samstag"),($A22="Sonntag"))</formula>
    </cfRule>
  </conditionalFormatting>
  <conditionalFormatting sqref="H31">
    <cfRule type="expression" dxfId="989" priority="70" stopIfTrue="1">
      <formula>OR(($A31="Samstag"),($A31="Sonntag"))</formula>
    </cfRule>
  </conditionalFormatting>
  <conditionalFormatting sqref="H31">
    <cfRule type="expression" dxfId="988" priority="69" stopIfTrue="1">
      <formula>OR(($A31="Samstag"),($A31="Sonntag"))</formula>
    </cfRule>
  </conditionalFormatting>
  <conditionalFormatting sqref="H38">
    <cfRule type="expression" dxfId="987" priority="68" stopIfTrue="1">
      <formula>OR(($A38="Samstag"),($A38="Sonntag"))</formula>
    </cfRule>
  </conditionalFormatting>
  <conditionalFormatting sqref="H38">
    <cfRule type="expression" dxfId="986" priority="67" stopIfTrue="1">
      <formula>OR(($A38="Samstag"),($A38="Sonntag"))</formula>
    </cfRule>
  </conditionalFormatting>
  <conditionalFormatting sqref="H45">
    <cfRule type="expression" dxfId="985" priority="66" stopIfTrue="1">
      <formula>OR(($A45="Samstag"),($A45="Sonntag"))</formula>
    </cfRule>
  </conditionalFormatting>
  <conditionalFormatting sqref="H45">
    <cfRule type="expression" dxfId="984" priority="65" stopIfTrue="1">
      <formula>OR(($A45="Samstag"),($A45="Sonntag"))</formula>
    </cfRule>
  </conditionalFormatting>
  <conditionalFormatting sqref="H40:H44">
    <cfRule type="expression" dxfId="983" priority="58" stopIfTrue="1">
      <formula>OR(($A40="Samstag"),($A40="Sonntag"))</formula>
    </cfRule>
  </conditionalFormatting>
  <conditionalFormatting sqref="H40:H44">
    <cfRule type="expression" dxfId="982" priority="57" stopIfTrue="1">
      <formula>OR(($A40="Samstag"),($A40="Sonntag"))</formula>
    </cfRule>
  </conditionalFormatting>
  <conditionalFormatting sqref="H23">
    <cfRule type="expression" dxfId="981" priority="64" stopIfTrue="1">
      <formula>OR(($A23="Samstag"),($A23="Sonntag"))</formula>
    </cfRule>
  </conditionalFormatting>
  <conditionalFormatting sqref="H23">
    <cfRule type="expression" dxfId="980" priority="63" stopIfTrue="1">
      <formula>OR(($A23="Samstag"),($A23="Sonntag"))</formula>
    </cfRule>
  </conditionalFormatting>
  <conditionalFormatting sqref="H26:H30">
    <cfRule type="expression" dxfId="979" priority="62" stopIfTrue="1">
      <formula>OR(($A26="Samstag"),($A26="Sonntag"))</formula>
    </cfRule>
  </conditionalFormatting>
  <conditionalFormatting sqref="H26:H30">
    <cfRule type="expression" dxfId="978" priority="61" stopIfTrue="1">
      <formula>OR(($A26="Samstag"),($A26="Sonntag"))</formula>
    </cfRule>
  </conditionalFormatting>
  <conditionalFormatting sqref="H33:H37">
    <cfRule type="expression" dxfId="977" priority="60" stopIfTrue="1">
      <formula>OR(($A33="Samstag"),($A33="Sonntag"))</formula>
    </cfRule>
  </conditionalFormatting>
  <conditionalFormatting sqref="H33:H37">
    <cfRule type="expression" dxfId="976" priority="59" stopIfTrue="1">
      <formula>OR(($A33="Samstag"),($A33="Sonntag"))</formula>
    </cfRule>
  </conditionalFormatting>
  <conditionalFormatting sqref="H47:H51">
    <cfRule type="expression" dxfId="975" priority="56" stopIfTrue="1">
      <formula>OR(($A47="Samstag"),($A47="Sonntag"))</formula>
    </cfRule>
  </conditionalFormatting>
  <conditionalFormatting sqref="H47:H51">
    <cfRule type="expression" dxfId="974" priority="55" stopIfTrue="1">
      <formula>OR(($A47="Samstag"),($A47="Sonntag"))</formula>
    </cfRule>
  </conditionalFormatting>
  <conditionalFormatting sqref="F23:H52">
    <cfRule type="expression" dxfId="973" priority="54" stopIfTrue="1">
      <formula>OR(($A23="Samstag"),($A23="Sonntag"))</formula>
    </cfRule>
  </conditionalFormatting>
  <conditionalFormatting sqref="F23:H52">
    <cfRule type="expression" dxfId="972" priority="53" stopIfTrue="1">
      <formula>OR(($A23="Samstag"),($A23="Sonntag"))</formula>
    </cfRule>
  </conditionalFormatting>
  <conditionalFormatting sqref="I22:I52">
    <cfRule type="expression" dxfId="971" priority="38">
      <formula>(I22&gt;10)</formula>
    </cfRule>
    <cfRule type="expression" dxfId="970" priority="49" stopIfTrue="1">
      <formula>OR(($A22="Samstag"),($A22="Sonntag"))</formula>
    </cfRule>
    <cfRule type="expression" dxfId="969" priority="50" stopIfTrue="1">
      <formula>OR(($A22="Samstag"),($A22="Sonntag"))</formula>
    </cfRule>
    <cfRule type="expression" dxfId="968" priority="52" stopIfTrue="1">
      <formula>OR(($A22="Samstag"),($A22="Sonntag"))</formula>
    </cfRule>
  </conditionalFormatting>
  <conditionalFormatting sqref="I22:I52">
    <cfRule type="expression" dxfId="967" priority="51" stopIfTrue="1">
      <formula>OR(($A22="Samstag"),($A22="Sonntag"))</formula>
    </cfRule>
  </conditionalFormatting>
  <conditionalFormatting sqref="K56:P59">
    <cfRule type="expression" dxfId="966" priority="48">
      <formula>OR(ISERROR($K$55),($K$55&gt;""))</formula>
    </cfRule>
  </conditionalFormatting>
  <conditionalFormatting sqref="L44:L52">
    <cfRule type="expression" dxfId="965" priority="44" stopIfTrue="1">
      <formula>OR(($A44="Samstag"),($A44="Sonntag"))</formula>
    </cfRule>
  </conditionalFormatting>
  <conditionalFormatting sqref="L44:L52">
    <cfRule type="expression" dxfId="964" priority="47" stopIfTrue="1">
      <formula>OR(($A44="Samstag"),($A44="Sonntag"))</formula>
    </cfRule>
  </conditionalFormatting>
  <conditionalFormatting sqref="L44:L52">
    <cfRule type="expression" dxfId="963" priority="46" stopIfTrue="1">
      <formula>OR(($A44="Samstag"),($A44="Sonntag"))</formula>
    </cfRule>
  </conditionalFormatting>
  <conditionalFormatting sqref="L44:L52">
    <cfRule type="expression" dxfId="962" priority="45" stopIfTrue="1">
      <formula>OR(($A44="Samstag"),($A44="Sonntag"))</formula>
    </cfRule>
  </conditionalFormatting>
  <conditionalFormatting sqref="L22">
    <cfRule type="expression" dxfId="961" priority="43" stopIfTrue="1">
      <formula>OR(($A22="Samstag"),($A22="Sonntag"),($AA22=TRUE()))</formula>
    </cfRule>
  </conditionalFormatting>
  <conditionalFormatting sqref="L22">
    <cfRule type="expression" dxfId="960" priority="42" stopIfTrue="1">
      <formula>OR(($A22="Samstag"),($A22="Sonntag"))</formula>
    </cfRule>
  </conditionalFormatting>
  <conditionalFormatting sqref="L40:L43">
    <cfRule type="expression" dxfId="959" priority="41" stopIfTrue="1">
      <formula>OR(($A40="Samstag"),($A40="Sonntag"),($AA40=TRUE()))</formula>
    </cfRule>
  </conditionalFormatting>
  <conditionalFormatting sqref="L40:L43">
    <cfRule type="expression" dxfId="958" priority="40" stopIfTrue="1">
      <formula>OR(($A40="Samstag"),($A40="Sonntag"))</formula>
    </cfRule>
  </conditionalFormatting>
  <conditionalFormatting sqref="G22:G52">
    <cfRule type="expression" dxfId="957" priority="39">
      <formula>OR(AND(I22&gt;6,G22&lt;TIME(0,30,0)),AND(I22&gt;9,G22&lt;TIME(0,45,0)))</formula>
    </cfRule>
  </conditionalFormatting>
  <conditionalFormatting sqref="J22:K52">
    <cfRule type="expression" dxfId="956" priority="37" stopIfTrue="1">
      <formula>OR(($A22="Samstag"),($A22="Sonntag"),($AA22=TRUE()))</formula>
    </cfRule>
  </conditionalFormatting>
  <conditionalFormatting sqref="J22:J52">
    <cfRule type="expression" dxfId="955" priority="36" stopIfTrue="1">
      <formula>OR(($A22="Samstag"),($A22="Sonntag"))</formula>
    </cfRule>
  </conditionalFormatting>
  <conditionalFormatting sqref="J22:J52">
    <cfRule type="expression" dxfId="954" priority="35" stopIfTrue="1">
      <formula>OR(($A22="Samstag"),($A22="Sonntag"))</formula>
    </cfRule>
  </conditionalFormatting>
  <conditionalFormatting sqref="K32">
    <cfRule type="expression" dxfId="953" priority="34" stopIfTrue="1">
      <formula>OR(($A32="Samstag"),($A32="Sonntag"))</formula>
    </cfRule>
  </conditionalFormatting>
  <conditionalFormatting sqref="K32">
    <cfRule type="expression" dxfId="952" priority="33" stopIfTrue="1">
      <formula>OR(($A32="Samstag"),($A32="Sonntag"))</formula>
    </cfRule>
  </conditionalFormatting>
  <conditionalFormatting sqref="K52">
    <cfRule type="expression" dxfId="951" priority="22" stopIfTrue="1">
      <formula>OR(($A52="Samstag"),($A52="Sonntag"))</formula>
    </cfRule>
  </conditionalFormatting>
  <conditionalFormatting sqref="K52">
    <cfRule type="expression" dxfId="950" priority="21" stopIfTrue="1">
      <formula>OR(($A52="Samstag"),($A52="Sonntag"))</formula>
    </cfRule>
  </conditionalFormatting>
  <conditionalFormatting sqref="K46">
    <cfRule type="expression" dxfId="949" priority="25" stopIfTrue="1">
      <formula>OR(($A46="Samstag"),($A46="Sonntag"))</formula>
    </cfRule>
  </conditionalFormatting>
  <conditionalFormatting sqref="K32">
    <cfRule type="expression" dxfId="948" priority="29" stopIfTrue="1">
      <formula>OR(($A32="Samstag"),($A32="Sonntag"))</formula>
    </cfRule>
  </conditionalFormatting>
  <conditionalFormatting sqref="K24:K25">
    <cfRule type="expression" dxfId="947" priority="32" stopIfTrue="1">
      <formula>OR(($A24="Samstag"),($A24="Sonntag"))</formula>
    </cfRule>
  </conditionalFormatting>
  <conditionalFormatting sqref="K24">
    <cfRule type="expression" dxfId="946" priority="31" stopIfTrue="1">
      <formula>OR(($A24="Samstag"),($A24="Sonntag"))</formula>
    </cfRule>
  </conditionalFormatting>
  <conditionalFormatting sqref="K25">
    <cfRule type="expression" dxfId="945" priority="30" stopIfTrue="1">
      <formula>OR(($A25="Samstag"),($A25="Sonntag"))</formula>
    </cfRule>
  </conditionalFormatting>
  <conditionalFormatting sqref="K39">
    <cfRule type="expression" dxfId="944" priority="27" stopIfTrue="1">
      <formula>OR(($A39="Samstag"),($A39="Sonntag"))</formula>
    </cfRule>
  </conditionalFormatting>
  <conditionalFormatting sqref="K39">
    <cfRule type="expression" dxfId="943" priority="28" stopIfTrue="1">
      <formula>OR(($A39="Samstag"),($A39="Sonntag"))</formula>
    </cfRule>
  </conditionalFormatting>
  <conditionalFormatting sqref="K39">
    <cfRule type="expression" dxfId="942" priority="26" stopIfTrue="1">
      <formula>OR(($A39="Samstag"),($A39="Sonntag"))</formula>
    </cfRule>
  </conditionalFormatting>
  <conditionalFormatting sqref="K46">
    <cfRule type="expression" dxfId="941" priority="24" stopIfTrue="1">
      <formula>OR(($A46="Samstag"),($A46="Sonntag"))</formula>
    </cfRule>
  </conditionalFormatting>
  <conditionalFormatting sqref="K46">
    <cfRule type="expression" dxfId="940" priority="23" stopIfTrue="1">
      <formula>OR(($A46="Samstag"),($A46="Sonntag"))</formula>
    </cfRule>
  </conditionalFormatting>
  <conditionalFormatting sqref="K22:K52">
    <cfRule type="expression" dxfId="939" priority="20" stopIfTrue="1">
      <formula>OR(($A22="Samstag"),($A22="Sonntag"))</formula>
    </cfRule>
  </conditionalFormatting>
  <conditionalFormatting sqref="K22:K52">
    <cfRule type="expression" dxfId="938" priority="19" stopIfTrue="1">
      <formula>OR(($A22="Samstag"),($A22="Sonntag"))</formula>
    </cfRule>
  </conditionalFormatting>
  <conditionalFormatting sqref="K31">
    <cfRule type="expression" dxfId="937" priority="18" stopIfTrue="1">
      <formula>OR(($A31="Samstag"),($A31="Sonntag"))</formula>
    </cfRule>
  </conditionalFormatting>
  <conditionalFormatting sqref="K31">
    <cfRule type="expression" dxfId="936" priority="17" stopIfTrue="1">
      <formula>OR(($A31="Samstag"),($A31="Sonntag"))</formula>
    </cfRule>
  </conditionalFormatting>
  <conditionalFormatting sqref="K38">
    <cfRule type="expression" dxfId="935" priority="16" stopIfTrue="1">
      <formula>OR(($A38="Samstag"),($A38="Sonntag"))</formula>
    </cfRule>
  </conditionalFormatting>
  <conditionalFormatting sqref="K38">
    <cfRule type="expression" dxfId="934" priority="15" stopIfTrue="1">
      <formula>OR(($A38="Samstag"),($A38="Sonntag"))</formula>
    </cfRule>
  </conditionalFormatting>
  <conditionalFormatting sqref="K45">
    <cfRule type="expression" dxfId="933" priority="14" stopIfTrue="1">
      <formula>OR(($A45="Samstag"),($A45="Sonntag"))</formula>
    </cfRule>
  </conditionalFormatting>
  <conditionalFormatting sqref="K45">
    <cfRule type="expression" dxfId="932" priority="13" stopIfTrue="1">
      <formula>OR(($A45="Samstag"),($A45="Sonntag"))</formula>
    </cfRule>
  </conditionalFormatting>
  <conditionalFormatting sqref="K40:K44">
    <cfRule type="expression" dxfId="931" priority="6" stopIfTrue="1">
      <formula>OR(($A40="Samstag"),($A40="Sonntag"))</formula>
    </cfRule>
  </conditionalFormatting>
  <conditionalFormatting sqref="K40:K44">
    <cfRule type="expression" dxfId="930" priority="5" stopIfTrue="1">
      <formula>OR(($A40="Samstag"),($A40="Sonntag"))</formula>
    </cfRule>
  </conditionalFormatting>
  <conditionalFormatting sqref="K23">
    <cfRule type="expression" dxfId="929" priority="12" stopIfTrue="1">
      <formula>OR(($A23="Samstag"),($A23="Sonntag"))</formula>
    </cfRule>
  </conditionalFormatting>
  <conditionalFormatting sqref="K23">
    <cfRule type="expression" dxfId="928" priority="11" stopIfTrue="1">
      <formula>OR(($A23="Samstag"),($A23="Sonntag"))</formula>
    </cfRule>
  </conditionalFormatting>
  <conditionalFormatting sqref="K26:K30">
    <cfRule type="expression" dxfId="927" priority="10" stopIfTrue="1">
      <formula>OR(($A26="Samstag"),($A26="Sonntag"))</formula>
    </cfRule>
  </conditionalFormatting>
  <conditionalFormatting sqref="K26:K30">
    <cfRule type="expression" dxfId="926" priority="9" stopIfTrue="1">
      <formula>OR(($A26="Samstag"),($A26="Sonntag"))</formula>
    </cfRule>
  </conditionalFormatting>
  <conditionalFormatting sqref="K33:K37">
    <cfRule type="expression" dxfId="925" priority="8" stopIfTrue="1">
      <formula>OR(($A33="Samstag"),($A33="Sonntag"))</formula>
    </cfRule>
  </conditionalFormatting>
  <conditionalFormatting sqref="K33:K37">
    <cfRule type="expression" dxfId="924" priority="7" stopIfTrue="1">
      <formula>OR(($A33="Samstag"),($A33="Sonntag"))</formula>
    </cfRule>
  </conditionalFormatting>
  <conditionalFormatting sqref="K47:K51">
    <cfRule type="expression" dxfId="923" priority="4" stopIfTrue="1">
      <formula>OR(($A47="Samstag"),($A47="Sonntag"))</formula>
    </cfRule>
  </conditionalFormatting>
  <conditionalFormatting sqref="K47:K51">
    <cfRule type="expression" dxfId="922" priority="3" stopIfTrue="1">
      <formula>OR(($A47="Samstag"),($A47="Sonntag"))</formula>
    </cfRule>
  </conditionalFormatting>
  <conditionalFormatting sqref="J22:J52">
    <cfRule type="expression" dxfId="921" priority="2" stopIfTrue="1">
      <formula>OR(($A22="Samstag"),($A22="Sonntag"))</formula>
    </cfRule>
  </conditionalFormatting>
  <conditionalFormatting sqref="J22:J52">
    <cfRule type="expression" dxfId="920" priority="1" stopIfTrue="1">
      <formula>OR(($A22="Samstag"),($A22="Sonntag"))</formula>
    </cfRule>
  </conditionalFormatting>
  <dataValidations count="8">
    <dataValidation type="decimal" allowBlank="1" showInputMessage="1" showErrorMessage="1" errorTitle="Eingabefehler" error="Bitte geben Sie eine positive Dezimalzahl ein." sqref="D22:D52">
      <formula1>0</formula1>
      <formula2>20</formula2>
    </dataValidation>
    <dataValidation type="decimal" allowBlank="1" showInputMessage="1" showErrorMessage="1" sqref="I16:M16 I12:M12">
      <formula1>$AA$35</formula1>
      <formula2>$AA$36</formula2>
    </dataValidation>
    <dataValidation showInputMessage="1" showErrorMessage="1" sqref="G10:I10"/>
    <dataValidation type="list" allowBlank="1" showInputMessage="1" showErrorMessage="1" sqref="E17:F17">
      <formula1>$B$22:$B$52</formula1>
    </dataValidation>
    <dataValidation type="list" showInputMessage="1" showErrorMessage="1" sqref="C22:C52">
      <formula1>Auswahlart</formula1>
    </dataValidation>
    <dataValidation type="custom" allowBlank="1" showInputMessage="1" showErrorMessage="1" errorTitle="Eingabefehler" error="Bitte geben Sie eine Uhrzeit ( hh:mm ) zwischen 0:00 und 23:59 ein. Bitte beachten Sie, dass eine Eingabe an Wochenenden sowie an Tagen mit dem Status &quot;bezahlt abwesend&quot; nicht möglich ist." sqref="F22:H52">
      <formula1>AND(ISNUMBER(F22),DAY($B22)&gt;0,NOT(AND($C22="BA",NOT($S$8))),NOT(AND(OR($A22="Sonntag",$A22="Samstag"),NOT($S$7))),F22&gt;=TIME(0,0,0),F22&lt;=TIME(23,59,59))</formula1>
    </dataValidation>
    <dataValidation type="decimal" allowBlank="1" showInputMessage="1" showErrorMessage="1" sqref="M7:O7">
      <formula1>-9999999</formula1>
      <formula2>9999999</formula2>
    </dataValidation>
    <dataValidation type="decimal" allowBlank="1" showInputMessage="1" showErrorMessage="1" sqref="F12 F16 I17:M17 I13:M13">
      <formula1>0</formula1>
      <formula2>45</formula2>
    </dataValidation>
  </dataValidations>
  <pageMargins left="0.43307086614173229" right="0.23622047244094491" top="0.89" bottom="0.54" header="0.4" footer="0.31496062992125984"/>
  <pageSetup paperSize="9" scale="65" orientation="portrait" r:id="rId1"/>
  <headerFooter differentFirst="1" alignWithMargins="0">
    <firstHeader>&amp;L&amp;G</firstHeader>
  </headerFooter>
  <drawing r:id="rId2"/>
  <legacyDrawing r:id="rId3"/>
  <legacyDrawingHF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
    <pageSetUpPr fitToPage="1"/>
  </sheetPr>
  <dimension ref="A1:IR80"/>
  <sheetViews>
    <sheetView showGridLines="0" showRowColHeaders="0" topLeftCell="A28" zoomScaleNormal="100" zoomScaleSheetLayoutView="55" workbookViewId="0">
      <selection activeCell="C31" sqref="C31"/>
    </sheetView>
  </sheetViews>
  <sheetFormatPr baseColWidth="10" defaultColWidth="6.25" defaultRowHeight="0" customHeight="1" zeroHeight="1"/>
  <cols>
    <col min="1" max="1" width="5" style="6" customWidth="1"/>
    <col min="2" max="2" width="11.25" style="57" customWidth="1"/>
    <col min="3" max="3" width="7.5" style="57" customWidth="1"/>
    <col min="4" max="8" width="7.75" style="57" customWidth="1"/>
    <col min="9" max="13" width="8.125" style="57" customWidth="1"/>
    <col min="14" max="14" width="7.5" style="57" customWidth="1"/>
    <col min="15" max="15" width="10" style="57" customWidth="1"/>
    <col min="16" max="16" width="7.5" style="24" customWidth="1"/>
    <col min="17" max="17" width="5" style="24" customWidth="1"/>
    <col min="18" max="18" width="10.125" style="6" customWidth="1"/>
    <col min="19" max="19" width="7.5" style="6" bestFit="1" customWidth="1"/>
    <col min="20" max="20" width="8.5" style="6" bestFit="1" customWidth="1"/>
    <col min="21" max="21" width="7.25" style="6" bestFit="1" customWidth="1"/>
    <col min="22" max="22" width="7.75" style="6" bestFit="1" customWidth="1"/>
    <col min="23" max="23" width="7.5" style="6" bestFit="1" customWidth="1"/>
    <col min="24" max="24" width="8.125" style="6" bestFit="1" customWidth="1"/>
    <col min="25" max="25" width="7.25" style="6" bestFit="1" customWidth="1"/>
    <col min="26" max="26" width="7.25" style="6" customWidth="1"/>
    <col min="27" max="27" width="10.5" style="68" customWidth="1"/>
    <col min="28" max="28" width="9.875" style="68" customWidth="1"/>
    <col min="29" max="29" width="11.125" style="6" customWidth="1"/>
    <col min="30" max="31" width="11.125" style="95" customWidth="1"/>
    <col min="32" max="34" width="6.25" style="96" customWidth="1"/>
    <col min="35" max="252" width="6.25" style="3" customWidth="1"/>
    <col min="253" max="16384" width="6.25" style="3"/>
  </cols>
  <sheetData>
    <row r="1" spans="1:34" ht="11.25" customHeight="1">
      <c r="A1" s="3"/>
      <c r="B1" s="92"/>
      <c r="C1" s="92"/>
      <c r="D1" s="92"/>
      <c r="E1" s="92"/>
      <c r="F1" s="92"/>
      <c r="G1" s="92"/>
      <c r="H1" s="92"/>
      <c r="I1" s="92"/>
      <c r="J1" s="92"/>
      <c r="K1" s="92"/>
      <c r="L1" s="92"/>
      <c r="M1" s="92"/>
      <c r="N1" s="92"/>
      <c r="O1" s="92"/>
      <c r="P1" s="8"/>
      <c r="Q1" s="154"/>
      <c r="R1" s="154"/>
      <c r="S1" s="69"/>
      <c r="T1" s="69"/>
      <c r="U1" s="69"/>
      <c r="V1" s="3"/>
      <c r="W1" s="3"/>
      <c r="X1" s="3"/>
      <c r="Y1" s="3"/>
      <c r="Z1" s="3"/>
      <c r="AA1" s="3"/>
      <c r="AB1" s="3"/>
      <c r="AC1" s="3"/>
      <c r="AD1" s="3"/>
      <c r="AE1" s="3"/>
      <c r="AF1" s="3"/>
      <c r="AG1" s="3"/>
      <c r="AH1" s="3"/>
    </row>
    <row r="2" spans="1:34" ht="18.75" customHeight="1">
      <c r="A2" s="3"/>
      <c r="B2" s="221" t="s">
        <v>9</v>
      </c>
      <c r="C2" s="221"/>
      <c r="D2" s="221"/>
      <c r="E2" s="221"/>
      <c r="F2" s="221"/>
      <c r="G2" s="221"/>
      <c r="H2" s="221"/>
      <c r="I2" s="221" t="s">
        <v>37</v>
      </c>
      <c r="J2" s="221"/>
      <c r="K2" s="278">
        <f>Übersicht!K2</f>
        <v>2017</v>
      </c>
      <c r="L2" s="278"/>
      <c r="M2" s="93"/>
      <c r="N2" s="93"/>
      <c r="O2" s="93"/>
      <c r="P2" s="94"/>
      <c r="Q2" s="154"/>
      <c r="R2" s="154"/>
      <c r="S2" s="69"/>
      <c r="T2" s="69"/>
      <c r="U2" s="69"/>
      <c r="V2" s="3"/>
      <c r="W2" s="3"/>
      <c r="X2" s="3"/>
      <c r="Y2" s="3"/>
      <c r="Z2" s="3"/>
      <c r="AA2" s="3"/>
      <c r="AB2" s="3"/>
      <c r="AC2" s="3"/>
      <c r="AD2" s="3"/>
      <c r="AE2" s="3"/>
      <c r="AF2" s="3"/>
      <c r="AG2" s="3"/>
      <c r="AH2" s="3"/>
    </row>
    <row r="3" spans="1:34" ht="11.25" customHeight="1">
      <c r="A3" s="3"/>
      <c r="B3" s="10"/>
      <c r="C3" s="10"/>
      <c r="D3" s="10"/>
      <c r="E3" s="10"/>
      <c r="F3" s="10"/>
      <c r="G3" s="10"/>
      <c r="H3" s="10"/>
      <c r="I3" s="10"/>
      <c r="J3" s="10"/>
      <c r="K3" s="10"/>
      <c r="L3" s="10"/>
      <c r="M3" s="10"/>
      <c r="N3" s="10"/>
      <c r="O3" s="10"/>
      <c r="P3" s="8"/>
      <c r="Q3" s="154"/>
      <c r="R3" s="154"/>
      <c r="S3" s="69"/>
      <c r="T3" s="69"/>
      <c r="U3" s="69"/>
      <c r="V3" s="3"/>
      <c r="W3" s="3"/>
      <c r="X3" s="3"/>
      <c r="Y3" s="3"/>
      <c r="Z3" s="3"/>
      <c r="AA3" s="3"/>
      <c r="AB3" s="3"/>
      <c r="AC3" s="3"/>
      <c r="AD3" s="3"/>
      <c r="AE3" s="3"/>
      <c r="AF3" s="3"/>
      <c r="AG3" s="3"/>
      <c r="AH3" s="3"/>
    </row>
    <row r="4" spans="1:34" ht="15" customHeight="1">
      <c r="A4" s="3"/>
      <c r="B4" s="11"/>
      <c r="C4" s="12"/>
      <c r="D4" s="12"/>
      <c r="E4" s="12"/>
      <c r="F4" s="12"/>
      <c r="G4" s="12"/>
      <c r="H4" s="12"/>
      <c r="I4" s="12"/>
      <c r="J4" s="12"/>
      <c r="K4" s="12"/>
      <c r="L4" s="12"/>
      <c r="M4" s="12"/>
      <c r="N4" s="12"/>
      <c r="O4" s="12"/>
      <c r="P4" s="13"/>
      <c r="Q4" s="154"/>
      <c r="R4" s="154"/>
      <c r="S4" s="69"/>
      <c r="T4" s="69"/>
      <c r="U4" s="69"/>
      <c r="V4" s="3"/>
      <c r="W4" s="3"/>
      <c r="X4" s="3"/>
      <c r="Y4" s="3"/>
      <c r="Z4" s="3"/>
      <c r="AA4" s="3"/>
      <c r="AB4" s="3"/>
      <c r="AC4" s="3"/>
      <c r="AD4" s="3"/>
      <c r="AE4" s="3"/>
      <c r="AF4" s="3"/>
      <c r="AG4" s="3"/>
      <c r="AH4" s="3"/>
    </row>
    <row r="5" spans="1:34" ht="22.5" customHeight="1">
      <c r="A5" s="3"/>
      <c r="B5" s="107"/>
      <c r="C5" s="25" t="s">
        <v>3</v>
      </c>
      <c r="D5" s="15"/>
      <c r="E5" s="258" t="str">
        <f>IF(Übersicht!E5&lt;&gt;"",Übersicht!E5,"")</f>
        <v>Jansen, David</v>
      </c>
      <c r="F5" s="259"/>
      <c r="G5" s="259"/>
      <c r="H5" s="260"/>
      <c r="I5" s="16"/>
      <c r="J5" s="25" t="s">
        <v>65</v>
      </c>
      <c r="K5" s="16"/>
      <c r="M5" s="261">
        <f>IF(Übersicht!M5&lt;&gt;"",Übersicht!M5,"")</f>
        <v>419510</v>
      </c>
      <c r="N5" s="262"/>
      <c r="O5" s="263"/>
      <c r="P5" s="17"/>
      <c r="Q5" s="155"/>
      <c r="R5" s="155"/>
      <c r="S5" s="68"/>
      <c r="T5" s="68"/>
      <c r="V5" s="3"/>
      <c r="W5" s="3"/>
      <c r="X5" s="3"/>
      <c r="Y5" s="3"/>
      <c r="Z5" s="3"/>
      <c r="AA5" s="3"/>
      <c r="AB5" s="3"/>
      <c r="AC5" s="3"/>
      <c r="AD5" s="3"/>
      <c r="AE5" s="3"/>
      <c r="AF5" s="3"/>
      <c r="AG5" s="3"/>
      <c r="AH5" s="3"/>
    </row>
    <row r="6" spans="1:34" ht="15">
      <c r="A6" s="3"/>
      <c r="B6" s="18"/>
      <c r="C6" s="19"/>
      <c r="D6" s="19"/>
      <c r="E6" s="19"/>
      <c r="F6" s="19"/>
      <c r="G6" s="20"/>
      <c r="H6" s="20"/>
      <c r="I6" s="16"/>
      <c r="J6" s="16"/>
      <c r="P6" s="23"/>
      <c r="Q6" s="156"/>
      <c r="R6" s="156"/>
      <c r="V6" s="3"/>
      <c r="W6" s="3"/>
      <c r="X6" s="3"/>
      <c r="Y6" s="3"/>
      <c r="Z6" s="3"/>
      <c r="AA6" s="3"/>
      <c r="AB6" s="3"/>
      <c r="AC6" s="3"/>
      <c r="AD6" s="3"/>
      <c r="AE6" s="3"/>
      <c r="AF6" s="3"/>
      <c r="AG6" s="3"/>
      <c r="AH6" s="3"/>
    </row>
    <row r="7" spans="1:34" ht="22.5" customHeight="1">
      <c r="A7" s="3"/>
      <c r="B7" s="107"/>
      <c r="C7" s="25" t="s">
        <v>7</v>
      </c>
      <c r="D7" s="16"/>
      <c r="E7" s="258" t="str">
        <f>IF(Übersicht!E7&lt;&gt;"",Übersicht!E7,"")</f>
        <v>Hiwi</v>
      </c>
      <c r="F7" s="259"/>
      <c r="G7" s="259"/>
      <c r="H7" s="260"/>
      <c r="I7" s="16"/>
      <c r="J7" s="25" t="s">
        <v>74</v>
      </c>
      <c r="K7" s="16"/>
      <c r="M7" s="272">
        <f>Juli!K54</f>
        <v>-41.25</v>
      </c>
      <c r="N7" s="285"/>
      <c r="O7" s="286"/>
      <c r="P7" s="23"/>
      <c r="Q7" s="156"/>
      <c r="R7" s="6" t="s">
        <v>81</v>
      </c>
      <c r="S7" s="211" t="b">
        <f>OR(IF(E7&gt;"",IF(MID(E7,LEN(E7)-1,2)="WE","WAHR",FALSE),FALSE),IF(E7&gt;"",IF(MID(E7,LEN(E7)-2,3)="WEF","WAHR",FALSE),FALSE))</f>
        <v>0</v>
      </c>
      <c r="V7" s="3"/>
      <c r="W7" s="3"/>
      <c r="X7" s="3"/>
      <c r="Y7" s="3"/>
      <c r="Z7" s="3"/>
      <c r="AA7" s="3"/>
      <c r="AB7" s="3"/>
      <c r="AC7" s="3"/>
      <c r="AD7" s="3"/>
      <c r="AE7" s="3"/>
      <c r="AF7" s="3"/>
      <c r="AG7" s="3"/>
      <c r="AH7" s="3"/>
    </row>
    <row r="8" spans="1:34" ht="22.5" customHeight="1">
      <c r="A8" s="3"/>
      <c r="B8" s="186"/>
      <c r="C8" s="187"/>
      <c r="D8" s="187"/>
      <c r="E8" s="187"/>
      <c r="F8" s="188"/>
      <c r="G8" s="189"/>
      <c r="H8" s="189"/>
      <c r="I8" s="189"/>
      <c r="J8" s="61"/>
      <c r="K8" s="61"/>
      <c r="L8" s="61"/>
      <c r="M8" s="61"/>
      <c r="N8" s="61"/>
      <c r="O8" s="61"/>
      <c r="P8" s="190"/>
      <c r="Q8" s="156"/>
      <c r="R8" s="6" t="s">
        <v>82</v>
      </c>
      <c r="S8" s="211" t="b">
        <f>IF(E7&gt;"",IF(MID(E7,LEN(E7)-2,3)="WEF","WAHR",FALSE),FALSE)</f>
        <v>0</v>
      </c>
      <c r="V8" s="3"/>
      <c r="W8" s="3"/>
      <c r="X8" s="3"/>
      <c r="Y8" s="3"/>
      <c r="Z8" s="3"/>
      <c r="AA8" s="3"/>
      <c r="AB8" s="3"/>
      <c r="AC8" s="3"/>
      <c r="AD8" s="3"/>
      <c r="AE8" s="3"/>
      <c r="AF8" s="3"/>
      <c r="AG8" s="3"/>
      <c r="AH8" s="3"/>
    </row>
    <row r="9" spans="1:34" ht="22.5" customHeight="1">
      <c r="A9" s="3"/>
      <c r="B9" s="107"/>
      <c r="C9" s="25" t="s">
        <v>73</v>
      </c>
      <c r="D9" s="16"/>
      <c r="E9" s="191" t="str">
        <f>IF(Übersicht!E11&lt;&gt;"",Übersicht!E11,"")</f>
        <v>Innogy Abwasser</v>
      </c>
      <c r="F9" s="192"/>
      <c r="G9" s="192"/>
      <c r="H9" s="192"/>
      <c r="I9" s="192"/>
      <c r="J9" s="192"/>
      <c r="K9" s="192"/>
      <c r="L9" s="192"/>
      <c r="M9" s="192"/>
      <c r="N9" s="192"/>
      <c r="O9" s="193"/>
      <c r="P9" s="23"/>
      <c r="Q9" s="156"/>
      <c r="R9" s="156"/>
      <c r="V9" s="3"/>
      <c r="W9" s="3"/>
      <c r="X9" s="3"/>
      <c r="Y9" s="3"/>
      <c r="Z9" s="3"/>
      <c r="AA9" s="3"/>
      <c r="AB9" s="3"/>
      <c r="AC9" s="3"/>
      <c r="AD9" s="3"/>
      <c r="AE9" s="3"/>
      <c r="AF9" s="3"/>
      <c r="AG9" s="3"/>
      <c r="AH9" s="3"/>
    </row>
    <row r="10" spans="1:34" ht="15">
      <c r="A10" s="3"/>
      <c r="B10" s="14"/>
      <c r="C10" s="25"/>
      <c r="D10" s="25"/>
      <c r="E10" s="25"/>
      <c r="F10" s="19"/>
      <c r="G10" s="26"/>
      <c r="H10" s="26"/>
      <c r="I10" s="26"/>
      <c r="P10" s="23"/>
      <c r="Q10" s="157"/>
      <c r="R10" s="157"/>
      <c r="S10" s="68"/>
      <c r="T10" s="68"/>
      <c r="U10" s="68"/>
      <c r="V10" s="3"/>
      <c r="W10" s="3"/>
      <c r="X10" s="3"/>
      <c r="Y10" s="3"/>
      <c r="Z10" s="3"/>
      <c r="AA10" s="3"/>
      <c r="AB10" s="3"/>
      <c r="AC10" s="3"/>
      <c r="AD10" s="3"/>
      <c r="AE10" s="3"/>
      <c r="AF10" s="3"/>
      <c r="AG10" s="3"/>
      <c r="AH10" s="3"/>
    </row>
    <row r="11" spans="1:34" ht="15" customHeight="1">
      <c r="A11" s="3"/>
      <c r="B11" s="112"/>
      <c r="C11" s="113"/>
      <c r="D11" s="114"/>
      <c r="E11" s="114"/>
      <c r="F11" s="115"/>
      <c r="G11" s="115"/>
      <c r="H11" s="116" t="s">
        <v>42</v>
      </c>
      <c r="I11" s="117" t="s">
        <v>12</v>
      </c>
      <c r="J11" s="118" t="s">
        <v>13</v>
      </c>
      <c r="K11" s="119" t="s">
        <v>14</v>
      </c>
      <c r="L11" s="117" t="s">
        <v>15</v>
      </c>
      <c r="M11" s="117" t="s">
        <v>16</v>
      </c>
      <c r="N11" s="120"/>
      <c r="O11" s="150"/>
      <c r="P11" s="23"/>
      <c r="Q11" s="156"/>
      <c r="R11" s="156"/>
      <c r="V11" s="3"/>
      <c r="W11" s="3"/>
      <c r="X11" s="3"/>
      <c r="Y11" s="3"/>
      <c r="Z11" s="3"/>
      <c r="AA11" s="3"/>
      <c r="AB11" s="3"/>
      <c r="AC11" s="3"/>
      <c r="AD11" s="3"/>
      <c r="AE11" s="3"/>
      <c r="AF11" s="3"/>
      <c r="AG11" s="3"/>
      <c r="AH11" s="3"/>
    </row>
    <row r="12" spans="1:34" ht="22.5" customHeight="1">
      <c r="A12" s="3"/>
      <c r="B12" s="112"/>
      <c r="C12" s="14" t="s">
        <v>30</v>
      </c>
      <c r="D12" s="21"/>
      <c r="E12" s="22"/>
      <c r="F12" s="152">
        <f>IF(Juli!F16&gt;0,Juli!F16,Juli!F12)</f>
        <v>10</v>
      </c>
      <c r="G12" s="92"/>
      <c r="H12" s="121" t="s">
        <v>43</v>
      </c>
      <c r="I12" s="122">
        <f>$F$12/5</f>
        <v>2</v>
      </c>
      <c r="J12" s="123">
        <f>$F$12/5</f>
        <v>2</v>
      </c>
      <c r="K12" s="123">
        <f>$F$12/5</f>
        <v>2</v>
      </c>
      <c r="L12" s="123">
        <f>$F$12/5</f>
        <v>2</v>
      </c>
      <c r="M12" s="124">
        <f>$F$12/5</f>
        <v>2</v>
      </c>
      <c r="N12" s="125" t="s">
        <v>45</v>
      </c>
      <c r="O12" s="150"/>
      <c r="P12" s="23"/>
      <c r="Q12" s="156"/>
      <c r="R12" s="156"/>
      <c r="V12" s="3"/>
      <c r="W12" s="3"/>
      <c r="X12" s="3"/>
      <c r="Y12" s="3"/>
      <c r="Z12" s="3"/>
      <c r="AA12" s="3"/>
      <c r="AB12" s="3"/>
      <c r="AC12" s="3"/>
      <c r="AD12" s="3"/>
      <c r="AE12" s="3"/>
      <c r="AF12" s="3"/>
      <c r="AG12" s="3"/>
      <c r="AH12" s="3"/>
    </row>
    <row r="13" spans="1:34" ht="22.5" customHeight="1">
      <c r="A13" s="3"/>
      <c r="B13" s="112"/>
      <c r="C13" s="126"/>
      <c r="D13" s="151"/>
      <c r="E13" s="151"/>
      <c r="F13" s="127"/>
      <c r="G13" s="127"/>
      <c r="H13" s="128" t="s">
        <v>44</v>
      </c>
      <c r="I13" s="108"/>
      <c r="J13" s="109"/>
      <c r="K13" s="109"/>
      <c r="L13" s="109"/>
      <c r="M13" s="110"/>
      <c r="N13" s="88">
        <f>SUM(I13:M13)</f>
        <v>0</v>
      </c>
      <c r="O13" s="150"/>
      <c r="P13" s="23"/>
      <c r="Q13" s="156"/>
      <c r="R13" s="156"/>
      <c r="V13" s="3"/>
      <c r="W13" s="3"/>
      <c r="X13" s="3"/>
      <c r="Y13" s="3"/>
      <c r="Z13" s="3"/>
      <c r="AA13" s="3"/>
      <c r="AB13" s="3"/>
      <c r="AC13" s="3"/>
      <c r="AD13" s="3"/>
      <c r="AE13" s="3"/>
      <c r="AF13" s="3"/>
      <c r="AG13" s="3"/>
      <c r="AH13" s="3"/>
    </row>
    <row r="14" spans="1:34" ht="18.75" customHeight="1">
      <c r="A14" s="3"/>
      <c r="B14" s="112"/>
      <c r="C14" s="149" t="s">
        <v>80</v>
      </c>
      <c r="D14" s="25"/>
      <c r="E14" s="27"/>
      <c r="F14" s="7"/>
      <c r="G14" s="7"/>
      <c r="O14" s="150"/>
      <c r="P14" s="23"/>
      <c r="Q14" s="156"/>
      <c r="R14" s="156"/>
      <c r="V14" s="3"/>
      <c r="W14" s="3"/>
      <c r="X14" s="3"/>
      <c r="Y14" s="3"/>
      <c r="Z14" s="3"/>
      <c r="AA14" s="3"/>
      <c r="AB14" s="3"/>
      <c r="AC14" s="3"/>
      <c r="AD14" s="3"/>
      <c r="AE14" s="3"/>
      <c r="AF14" s="3"/>
      <c r="AG14" s="3"/>
      <c r="AH14" s="3"/>
    </row>
    <row r="15" spans="1:34" ht="15" customHeight="1">
      <c r="A15" s="3"/>
      <c r="B15" s="112"/>
      <c r="C15" s="111"/>
      <c r="D15" s="129"/>
      <c r="E15" s="130"/>
      <c r="F15" s="130"/>
      <c r="G15" s="131"/>
      <c r="H15" s="132" t="s">
        <v>49</v>
      </c>
      <c r="I15" s="133" t="s">
        <v>12</v>
      </c>
      <c r="J15" s="134" t="s">
        <v>13</v>
      </c>
      <c r="K15" s="135" t="s">
        <v>14</v>
      </c>
      <c r="L15" s="133" t="s">
        <v>15</v>
      </c>
      <c r="M15" s="133" t="s">
        <v>16</v>
      </c>
      <c r="N15" s="136"/>
      <c r="O15" s="150"/>
      <c r="P15" s="23"/>
      <c r="Q15" s="156"/>
      <c r="R15" s="156"/>
      <c r="V15" s="3"/>
      <c r="W15" s="3"/>
      <c r="X15" s="3"/>
      <c r="Y15" s="3"/>
      <c r="Z15" s="3"/>
      <c r="AA15" s="3"/>
      <c r="AB15" s="3"/>
      <c r="AC15" s="3"/>
      <c r="AD15" s="3"/>
      <c r="AE15" s="3"/>
      <c r="AF15" s="3"/>
      <c r="AG15" s="3"/>
      <c r="AH15" s="3"/>
    </row>
    <row r="16" spans="1:34" ht="23.25" customHeight="1">
      <c r="A16" s="3"/>
      <c r="B16" s="112"/>
      <c r="C16" s="147" t="s">
        <v>48</v>
      </c>
      <c r="D16" s="148"/>
      <c r="E16" s="148"/>
      <c r="F16" s="152"/>
      <c r="G16" s="137"/>
      <c r="H16" s="138" t="s">
        <v>43</v>
      </c>
      <c r="I16" s="139">
        <f>$F$16/5</f>
        <v>0</v>
      </c>
      <c r="J16" s="140">
        <f>$F$16/5</f>
        <v>0</v>
      </c>
      <c r="K16" s="140">
        <f>$F$16/5</f>
        <v>0</v>
      </c>
      <c r="L16" s="140">
        <f>$F$16/5</f>
        <v>0</v>
      </c>
      <c r="M16" s="141">
        <f>$F$16/5</f>
        <v>0</v>
      </c>
      <c r="N16" s="142" t="s">
        <v>45</v>
      </c>
      <c r="O16" s="150"/>
      <c r="P16" s="23"/>
      <c r="Q16" s="156"/>
      <c r="R16" s="156"/>
      <c r="V16" s="3"/>
      <c r="W16" s="3"/>
      <c r="X16" s="3"/>
      <c r="Y16" s="3"/>
      <c r="Z16" s="3"/>
      <c r="AA16" s="3"/>
      <c r="AB16" s="3"/>
      <c r="AC16" s="3"/>
      <c r="AD16" s="3"/>
      <c r="AE16" s="3"/>
      <c r="AF16" s="3"/>
      <c r="AG16" s="3"/>
      <c r="AH16" s="3"/>
    </row>
    <row r="17" spans="1:252" ht="22.5" customHeight="1">
      <c r="A17" s="3"/>
      <c r="B17" s="112"/>
      <c r="C17" s="143" t="s">
        <v>47</v>
      </c>
      <c r="D17" s="144"/>
      <c r="E17" s="279"/>
      <c r="F17" s="279"/>
      <c r="G17" s="153" t="b">
        <f>IF($E$17&lt;&gt;0,TRUE(),FALSE())</f>
        <v>0</v>
      </c>
      <c r="H17" s="145" t="s">
        <v>44</v>
      </c>
      <c r="I17" s="108"/>
      <c r="J17" s="109"/>
      <c r="K17" s="109"/>
      <c r="L17" s="109"/>
      <c r="M17" s="110"/>
      <c r="N17" s="146">
        <f>SUM(I17:M17)</f>
        <v>0</v>
      </c>
      <c r="O17" s="150"/>
      <c r="P17" s="23"/>
      <c r="Q17" s="156"/>
      <c r="R17" s="156"/>
      <c r="V17" s="3"/>
      <c r="W17" s="3"/>
      <c r="X17" s="3"/>
      <c r="Y17" s="3"/>
      <c r="Z17" s="3"/>
      <c r="AA17" s="3"/>
      <c r="AB17" s="3"/>
      <c r="AC17" s="3"/>
      <c r="AD17" s="3"/>
      <c r="AE17" s="3"/>
      <c r="AF17" s="3"/>
      <c r="AG17" s="3"/>
      <c r="AH17" s="3"/>
    </row>
    <row r="18" spans="1:252" ht="15">
      <c r="A18" s="3"/>
      <c r="B18" s="85"/>
      <c r="C18" s="86"/>
      <c r="D18" s="87"/>
      <c r="E18" s="87"/>
      <c r="F18" s="87"/>
      <c r="G18" s="87"/>
      <c r="H18" s="87"/>
      <c r="I18" s="87"/>
      <c r="J18" s="87"/>
      <c r="K18" s="9"/>
      <c r="L18" s="9"/>
      <c r="M18" s="9"/>
      <c r="N18" s="9"/>
      <c r="O18" s="9"/>
      <c r="P18" s="28"/>
      <c r="Q18" s="156"/>
      <c r="R18" s="156"/>
      <c r="V18" s="3"/>
      <c r="W18" s="3"/>
      <c r="X18" s="3"/>
      <c r="Y18" s="3"/>
      <c r="Z18" s="3"/>
      <c r="AA18" s="3"/>
      <c r="AB18" s="3"/>
      <c r="AC18" s="3"/>
      <c r="AD18" s="3"/>
      <c r="AE18" s="3"/>
      <c r="AF18" s="3"/>
      <c r="AG18" s="3"/>
      <c r="AH18" s="3"/>
    </row>
    <row r="19" spans="1:252" ht="15.75" thickBot="1">
      <c r="A19" s="29"/>
      <c r="B19" s="164"/>
      <c r="C19" s="68"/>
      <c r="D19" s="68"/>
      <c r="E19" s="68"/>
      <c r="F19" s="68"/>
      <c r="G19" s="68"/>
      <c r="H19" s="68"/>
      <c r="I19" s="68"/>
      <c r="J19" s="68"/>
      <c r="K19" s="68"/>
      <c r="L19" s="68"/>
      <c r="M19" s="68"/>
      <c r="N19" s="68"/>
      <c r="O19" s="68"/>
      <c r="P19" s="68"/>
      <c r="Q19" s="157"/>
      <c r="R19" s="157"/>
      <c r="S19" s="68"/>
      <c r="T19" s="68"/>
      <c r="U19" s="68"/>
    </row>
    <row r="20" spans="1:252" s="4" customFormat="1" ht="18.75" customHeight="1">
      <c r="A20" s="30"/>
      <c r="B20" s="202"/>
      <c r="C20" s="264" t="s">
        <v>29</v>
      </c>
      <c r="D20" s="265"/>
      <c r="E20" s="265"/>
      <c r="F20" s="266" t="s">
        <v>67</v>
      </c>
      <c r="G20" s="267"/>
      <c r="H20" s="268"/>
      <c r="I20" s="269" t="s">
        <v>25</v>
      </c>
      <c r="J20" s="269"/>
      <c r="K20" s="270"/>
      <c r="L20" s="271"/>
      <c r="M20" s="269"/>
      <c r="N20" s="269"/>
      <c r="O20" s="269"/>
      <c r="P20" s="270"/>
      <c r="Q20" s="158"/>
      <c r="R20" s="158"/>
      <c r="S20" s="70" t="s">
        <v>22</v>
      </c>
      <c r="T20" s="70" t="s">
        <v>23</v>
      </c>
      <c r="U20" s="70" t="s">
        <v>23</v>
      </c>
      <c r="V20" s="71" t="s">
        <v>24</v>
      </c>
      <c r="W20" s="71" t="s">
        <v>22</v>
      </c>
      <c r="X20" s="71" t="s">
        <v>22</v>
      </c>
      <c r="Y20" s="71"/>
      <c r="Z20" s="71"/>
      <c r="AA20" s="70"/>
      <c r="AB20" s="70"/>
      <c r="AC20" s="71"/>
      <c r="AD20" s="97"/>
      <c r="AE20" s="97"/>
      <c r="AF20" s="98"/>
      <c r="AG20" s="98"/>
      <c r="AH20" s="98"/>
    </row>
    <row r="21" spans="1:252" ht="18.75" customHeight="1">
      <c r="A21" s="31">
        <f>DATEVALUE(I2&amp;K2)</f>
        <v>42948</v>
      </c>
      <c r="B21" s="203" t="s">
        <v>0</v>
      </c>
      <c r="C21" s="1" t="s">
        <v>8</v>
      </c>
      <c r="D21" s="5"/>
      <c r="E21" s="204" t="s">
        <v>18</v>
      </c>
      <c r="F21" s="173" t="s">
        <v>1</v>
      </c>
      <c r="G21" s="174" t="s">
        <v>6</v>
      </c>
      <c r="H21" s="175" t="s">
        <v>2</v>
      </c>
      <c r="I21" s="204" t="s">
        <v>17</v>
      </c>
      <c r="J21" s="2" t="s">
        <v>21</v>
      </c>
      <c r="K21" s="204" t="s">
        <v>19</v>
      </c>
      <c r="L21" s="275" t="s">
        <v>71</v>
      </c>
      <c r="M21" s="276"/>
      <c r="N21" s="276"/>
      <c r="O21" s="276"/>
      <c r="P21" s="277"/>
      <c r="Q21" s="159"/>
      <c r="R21" s="159"/>
      <c r="S21" s="72" t="s">
        <v>11</v>
      </c>
      <c r="T21" s="72" t="s">
        <v>1</v>
      </c>
      <c r="U21" s="72" t="s">
        <v>6</v>
      </c>
      <c r="V21" s="73" t="s">
        <v>2</v>
      </c>
      <c r="W21" s="73" t="s">
        <v>20</v>
      </c>
      <c r="X21" s="74" t="s">
        <v>21</v>
      </c>
      <c r="Y21" s="73" t="s">
        <v>19</v>
      </c>
      <c r="Z21" s="75"/>
    </row>
    <row r="22" spans="1:252" ht="20.25" customHeight="1">
      <c r="A22" s="32" t="str">
        <f t="shared" ref="A22:A52" si="0">TEXT(B22,"TTTT")</f>
        <v>Dienstag</v>
      </c>
      <c r="B22" s="33">
        <f>($A$21+ROW(B1)-1)*(MONTH($A$21+1)=MONTH($A$21))</f>
        <v>42948</v>
      </c>
      <c r="C22" s="185" t="str">
        <f>IF(OR(A22="Samstag",A22="Sonntag"),"",IF(COUNTIF(Übersicht!C$16:C$30,B22)&gt;0,"BA",""))</f>
        <v/>
      </c>
      <c r="D22" s="34"/>
      <c r="E22" s="172">
        <f>IF(OR(A22="Samstag",A22="Sonntag",C22="BA"),"",
IF(C22="SV",D22,
IF(OR($E$17="",B22&lt;$E$17),IF($N$13=0,HLOOKUP($A22,$I$11:$M$12,2,FALSE),IF($N$13=$F$12,HLOOKUP($A22,$I$11:$M$13,3,FALSE),"FEHLER")),
IF($N$17=0,HLOOKUP($A22,$I$15:$M$16,2,FALSE),IF($N$17=$F$16,HLOOKUP($A22,$I$15:$M$17,3,FALSE),"FEHLER")))))</f>
        <v>2</v>
      </c>
      <c r="F22" s="195"/>
      <c r="G22" s="196"/>
      <c r="H22" s="197"/>
      <c r="I22" s="38">
        <f t="shared" ref="I22:I52" si="1">IF(OR(C22="K",C22="U",C22="F"),E22,IF(C22="SU",IF(H22="",D22,((H22-F22)-G22)+D22),IF(AND(H22="",E22=""),0,((H22-F22)-G22)*24)))</f>
        <v>0</v>
      </c>
      <c r="J22" s="35">
        <f>IF(E22="Fehler",0,IF(E22="",I22,I22-E22))</f>
        <v>-2</v>
      </c>
      <c r="K22" s="36">
        <f>M7+J22</f>
        <v>-43.25</v>
      </c>
      <c r="L22" s="251"/>
      <c r="M22" s="252"/>
      <c r="N22" s="252"/>
      <c r="O22" s="252"/>
      <c r="P22" s="253"/>
      <c r="Q22" s="89"/>
      <c r="R22" s="165"/>
      <c r="S22" s="76"/>
      <c r="T22" s="76"/>
      <c r="U22" s="76"/>
      <c r="V22" s="76"/>
      <c r="W22" s="76"/>
      <c r="X22" s="76"/>
      <c r="Y22" s="76"/>
      <c r="Z22" s="76"/>
      <c r="AB22" s="166"/>
      <c r="AE22" s="99"/>
    </row>
    <row r="23" spans="1:252" s="96" customFormat="1" ht="20.25" customHeight="1">
      <c r="A23" s="32" t="str">
        <f t="shared" si="0"/>
        <v>Mittwoch</v>
      </c>
      <c r="B23" s="37">
        <f t="shared" ref="B23:B52" si="2">($A$21+ROW(B2)-1)*(MONTH(B22+1)=MONTH($A$21))</f>
        <v>42949</v>
      </c>
      <c r="C23" s="185" t="str">
        <f>IF(OR(A23="Samstag",A23="Sonntag"),"",IF(COUNTIF(Übersicht!C$16:C$30,B23)&gt;0,"BA",""))</f>
        <v/>
      </c>
      <c r="D23" s="38"/>
      <c r="E23" s="172">
        <f>IF(OR(A23="Samstag",A23="Sonntag",C23="BA"),"",
IF(C23="SV",D23,
IF(OR($E$17="",B23&lt;$E$17),IF($N$13=0,HLOOKUP($A23,$I$11:$M$12,2,FALSE),IF($N$13=$F$12,HLOOKUP($A23,$I$11:$M$13,3,FALSE),"FEHLER")),
IF($N$17=0,HLOOKUP($A23,$I$15:$M$16,2,FALSE),IF($N$17=$F$16,HLOOKUP($A23,$I$15:$M$17,3,FALSE),"FEHLER")))))</f>
        <v>2</v>
      </c>
      <c r="F23" s="176"/>
      <c r="G23" s="177"/>
      <c r="H23" s="178"/>
      <c r="I23" s="38">
        <f t="shared" si="1"/>
        <v>0</v>
      </c>
      <c r="J23" s="35">
        <f t="shared" ref="J23:J52" si="3">IF(E23="Fehler",0,IF(E23="",I23,I23-E23))</f>
        <v>-2</v>
      </c>
      <c r="K23" s="36">
        <f>SUM(K22,J23)</f>
        <v>-45.25</v>
      </c>
      <c r="L23" s="251"/>
      <c r="M23" s="252"/>
      <c r="N23" s="252"/>
      <c r="O23" s="252"/>
      <c r="P23" s="253"/>
      <c r="Q23" s="89"/>
      <c r="R23" s="165"/>
      <c r="S23" s="76"/>
      <c r="T23" s="76"/>
      <c r="U23" s="76"/>
      <c r="V23" s="76"/>
      <c r="W23" s="76"/>
      <c r="X23" s="76"/>
      <c r="Y23" s="76"/>
      <c r="Z23" s="76"/>
      <c r="AA23" s="68"/>
      <c r="AB23" s="166"/>
      <c r="AC23" s="6"/>
      <c r="AD23" s="95"/>
      <c r="AE23" s="99"/>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row>
    <row r="24" spans="1:252" s="96" customFormat="1" ht="20.25" customHeight="1">
      <c r="A24" s="32" t="str">
        <f t="shared" si="0"/>
        <v>Donnerstag</v>
      </c>
      <c r="B24" s="37">
        <f t="shared" si="2"/>
        <v>42950</v>
      </c>
      <c r="C24" s="185" t="str">
        <f>IF(OR(A24="Samstag",A24="Sonntag"),"",IF(COUNTIF(Übersicht!C$16:C$30,B24)&gt;0,"BA",""))</f>
        <v/>
      </c>
      <c r="D24" s="38"/>
      <c r="E24" s="172">
        <f t="shared" ref="E24:E52" si="4">IF(OR(A24="Samstag",A24="Sonntag",C24="BA"),"",
IF(C24="SV",D24,
IF(OR($E$17="",B24&lt;$E$17),IF($N$13=0,HLOOKUP($A24,$I$11:$M$12,2,FALSE),IF($N$13=$F$12,HLOOKUP($A24,$I$11:$M$13,3,FALSE),"FEHLER")),
IF($N$17=0,HLOOKUP($A24,$I$15:$M$16,2,FALSE),IF($N$17=$F$16,HLOOKUP($A24,$I$15:$M$17,3,FALSE),"FEHLER")))))</f>
        <v>2</v>
      </c>
      <c r="F24" s="176"/>
      <c r="G24" s="177"/>
      <c r="H24" s="178"/>
      <c r="I24" s="38">
        <f t="shared" si="1"/>
        <v>0</v>
      </c>
      <c r="J24" s="35">
        <f t="shared" si="3"/>
        <v>-2</v>
      </c>
      <c r="K24" s="36">
        <f t="shared" ref="K24:K52" si="5">SUM(K23,J24)</f>
        <v>-47.25</v>
      </c>
      <c r="L24" s="251"/>
      <c r="M24" s="252"/>
      <c r="N24" s="252"/>
      <c r="O24" s="252"/>
      <c r="P24" s="253"/>
      <c r="Q24" s="89"/>
      <c r="R24" s="165"/>
      <c r="S24" s="76"/>
      <c r="T24" s="76"/>
      <c r="U24" s="76"/>
      <c r="V24" s="76"/>
      <c r="W24" s="76"/>
      <c r="X24" s="76"/>
      <c r="Y24" s="76"/>
      <c r="Z24" s="76"/>
      <c r="AA24" s="68"/>
      <c r="AB24" s="166"/>
      <c r="AC24" s="6"/>
      <c r="AD24" s="95"/>
      <c r="AE24" s="99"/>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row>
    <row r="25" spans="1:252" s="96" customFormat="1" ht="20.25" customHeight="1">
      <c r="A25" s="32" t="str">
        <f t="shared" si="0"/>
        <v>Freitag</v>
      </c>
      <c r="B25" s="37">
        <f t="shared" si="2"/>
        <v>42951</v>
      </c>
      <c r="C25" s="185" t="str">
        <f>IF(OR(A25="Samstag",A25="Sonntag"),"",IF(COUNTIF(Übersicht!C$16:C$30,B25)&gt;0,"BA",""))</f>
        <v/>
      </c>
      <c r="D25" s="38"/>
      <c r="E25" s="172">
        <f t="shared" si="4"/>
        <v>2</v>
      </c>
      <c r="F25" s="176"/>
      <c r="G25" s="177"/>
      <c r="H25" s="178"/>
      <c r="I25" s="38">
        <f t="shared" si="1"/>
        <v>0</v>
      </c>
      <c r="J25" s="35">
        <f t="shared" si="3"/>
        <v>-2</v>
      </c>
      <c r="K25" s="36">
        <f t="shared" si="5"/>
        <v>-49.25</v>
      </c>
      <c r="L25" s="251"/>
      <c r="M25" s="252"/>
      <c r="N25" s="252"/>
      <c r="O25" s="252"/>
      <c r="P25" s="253"/>
      <c r="Q25" s="89"/>
      <c r="R25" s="165"/>
      <c r="S25" s="76"/>
      <c r="T25" s="76"/>
      <c r="U25" s="76"/>
      <c r="V25" s="76"/>
      <c r="W25" s="76"/>
      <c r="X25" s="76"/>
      <c r="Y25" s="76"/>
      <c r="Z25" s="76"/>
      <c r="AA25" s="68"/>
      <c r="AB25" s="166"/>
      <c r="AC25" s="6"/>
      <c r="AD25" s="95"/>
      <c r="AE25" s="99"/>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row>
    <row r="26" spans="1:252" s="96" customFormat="1" ht="20.25" customHeight="1">
      <c r="A26" s="32" t="str">
        <f t="shared" si="0"/>
        <v>Samstag</v>
      </c>
      <c r="B26" s="37">
        <f t="shared" si="2"/>
        <v>42952</v>
      </c>
      <c r="C26" s="185" t="str">
        <f>IF(OR(A26="Samstag",A26="Sonntag"),"",IF(COUNTIF(Übersicht!C$16:C$30,B26)&gt;0,"BA",""))</f>
        <v/>
      </c>
      <c r="D26" s="38"/>
      <c r="E26" s="172" t="str">
        <f t="shared" si="4"/>
        <v/>
      </c>
      <c r="F26" s="176"/>
      <c r="G26" s="177"/>
      <c r="H26" s="178"/>
      <c r="I26" s="38">
        <f t="shared" si="1"/>
        <v>0</v>
      </c>
      <c r="J26" s="35">
        <f t="shared" si="3"/>
        <v>0</v>
      </c>
      <c r="K26" s="36">
        <f t="shared" si="5"/>
        <v>-49.25</v>
      </c>
      <c r="L26" s="251"/>
      <c r="M26" s="252"/>
      <c r="N26" s="252"/>
      <c r="O26" s="252"/>
      <c r="P26" s="253"/>
      <c r="Q26" s="89"/>
      <c r="R26" s="165"/>
      <c r="S26" s="76"/>
      <c r="T26" s="76"/>
      <c r="U26" s="76"/>
      <c r="V26" s="76"/>
      <c r="W26" s="76"/>
      <c r="X26" s="76"/>
      <c r="Y26" s="76"/>
      <c r="Z26" s="76"/>
      <c r="AA26" s="68"/>
      <c r="AB26" s="166"/>
      <c r="AC26" s="6"/>
      <c r="AD26" s="95"/>
      <c r="AE26" s="99"/>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row>
    <row r="27" spans="1:252" s="96" customFormat="1" ht="20.25" customHeight="1">
      <c r="A27" s="32" t="str">
        <f t="shared" si="0"/>
        <v>Sonntag</v>
      </c>
      <c r="B27" s="37">
        <f t="shared" si="2"/>
        <v>42953</v>
      </c>
      <c r="C27" s="185" t="str">
        <f>IF(OR(A27="Samstag",A27="Sonntag"),"",IF(COUNTIF(Übersicht!C$16:C$30,B27)&gt;0,"BA",""))</f>
        <v/>
      </c>
      <c r="D27" s="38"/>
      <c r="E27" s="172" t="str">
        <f t="shared" si="4"/>
        <v/>
      </c>
      <c r="F27" s="176"/>
      <c r="G27" s="177"/>
      <c r="H27" s="178"/>
      <c r="I27" s="38">
        <f t="shared" si="1"/>
        <v>0</v>
      </c>
      <c r="J27" s="35">
        <f t="shared" si="3"/>
        <v>0</v>
      </c>
      <c r="K27" s="36">
        <f>SUM(K26,J27)</f>
        <v>-49.25</v>
      </c>
      <c r="L27" s="251"/>
      <c r="M27" s="252"/>
      <c r="N27" s="252"/>
      <c r="O27" s="252"/>
      <c r="P27" s="253"/>
      <c r="Q27" s="89"/>
      <c r="R27" s="165"/>
      <c r="S27" s="76"/>
      <c r="T27" s="76"/>
      <c r="U27" s="76"/>
      <c r="V27" s="76"/>
      <c r="W27" s="76"/>
      <c r="X27" s="76"/>
      <c r="Y27" s="76"/>
      <c r="Z27" s="76"/>
      <c r="AA27" s="68"/>
      <c r="AB27" s="166"/>
      <c r="AC27" s="6"/>
      <c r="AD27" s="95"/>
      <c r="AE27" s="99"/>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row>
    <row r="28" spans="1:252" s="96" customFormat="1" ht="20.25" customHeight="1">
      <c r="A28" s="32" t="str">
        <f t="shared" si="0"/>
        <v>Montag</v>
      </c>
      <c r="B28" s="37">
        <f t="shared" si="2"/>
        <v>42954</v>
      </c>
      <c r="C28" s="185" t="str">
        <f>IF(OR(A28="Samstag",A28="Sonntag"),"",IF(COUNTIF(Übersicht!C$16:C$30,B28)&gt;0,"BA",""))</f>
        <v/>
      </c>
      <c r="D28" s="38"/>
      <c r="E28" s="172">
        <f t="shared" si="4"/>
        <v>2</v>
      </c>
      <c r="F28" s="176"/>
      <c r="G28" s="177"/>
      <c r="H28" s="178"/>
      <c r="I28" s="38">
        <f t="shared" si="1"/>
        <v>0</v>
      </c>
      <c r="J28" s="35">
        <f t="shared" si="3"/>
        <v>-2</v>
      </c>
      <c r="K28" s="36">
        <f t="shared" si="5"/>
        <v>-51.25</v>
      </c>
      <c r="L28" s="251"/>
      <c r="M28" s="252"/>
      <c r="N28" s="252"/>
      <c r="O28" s="252"/>
      <c r="P28" s="253"/>
      <c r="Q28" s="89"/>
      <c r="R28" s="165"/>
      <c r="S28" s="76"/>
      <c r="T28" s="76"/>
      <c r="U28" s="76"/>
      <c r="V28" s="76"/>
      <c r="W28" s="76"/>
      <c r="X28" s="76"/>
      <c r="Y28" s="76"/>
      <c r="Z28" s="76"/>
      <c r="AA28" s="68"/>
      <c r="AB28" s="166"/>
      <c r="AC28" s="6"/>
      <c r="AD28" s="95"/>
      <c r="AE28" s="99"/>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row>
    <row r="29" spans="1:252" s="96" customFormat="1" ht="20.25" customHeight="1">
      <c r="A29" s="32" t="str">
        <f t="shared" si="0"/>
        <v>Dienstag</v>
      </c>
      <c r="B29" s="37">
        <f t="shared" si="2"/>
        <v>42955</v>
      </c>
      <c r="C29" s="185" t="str">
        <f>IF(OR(A29="Samstag",A29="Sonntag"),"",IF(COUNTIF(Übersicht!C$16:C$30,B29)&gt;0,"BA",""))</f>
        <v/>
      </c>
      <c r="D29" s="38"/>
      <c r="E29" s="172">
        <f t="shared" si="4"/>
        <v>2</v>
      </c>
      <c r="F29" s="176"/>
      <c r="G29" s="177"/>
      <c r="H29" s="178"/>
      <c r="I29" s="38">
        <f t="shared" si="1"/>
        <v>0</v>
      </c>
      <c r="J29" s="35">
        <f t="shared" si="3"/>
        <v>-2</v>
      </c>
      <c r="K29" s="36">
        <f t="shared" si="5"/>
        <v>-53.25</v>
      </c>
      <c r="L29" s="251"/>
      <c r="M29" s="252"/>
      <c r="N29" s="252"/>
      <c r="O29" s="252"/>
      <c r="P29" s="253"/>
      <c r="Q29" s="89"/>
      <c r="R29" s="165"/>
      <c r="S29" s="76"/>
      <c r="T29" s="76"/>
      <c r="U29" s="76"/>
      <c r="V29" s="76"/>
      <c r="W29" s="76"/>
      <c r="X29" s="76"/>
      <c r="Y29" s="76"/>
      <c r="Z29" s="76"/>
      <c r="AA29" s="68"/>
      <c r="AB29" s="166"/>
      <c r="AC29" s="6"/>
      <c r="AD29" s="95"/>
      <c r="AE29" s="99"/>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row>
    <row r="30" spans="1:252" s="96" customFormat="1" ht="20.25" customHeight="1">
      <c r="A30" s="32" t="str">
        <f t="shared" si="0"/>
        <v>Mittwoch</v>
      </c>
      <c r="B30" s="37">
        <f t="shared" si="2"/>
        <v>42956</v>
      </c>
      <c r="C30" s="185" t="str">
        <f>IF(OR(A30="Samstag",A30="Sonntag"),"",IF(COUNTIF(Übersicht!C$16:C$30,B30)&gt;0,"BA",""))</f>
        <v/>
      </c>
      <c r="D30" s="38"/>
      <c r="E30" s="172">
        <f t="shared" si="4"/>
        <v>2</v>
      </c>
      <c r="F30" s="176"/>
      <c r="G30" s="177"/>
      <c r="H30" s="178"/>
      <c r="I30" s="38">
        <f t="shared" si="1"/>
        <v>0</v>
      </c>
      <c r="J30" s="35">
        <f t="shared" si="3"/>
        <v>-2</v>
      </c>
      <c r="K30" s="36">
        <f t="shared" si="5"/>
        <v>-55.25</v>
      </c>
      <c r="L30" s="251"/>
      <c r="M30" s="252"/>
      <c r="N30" s="252"/>
      <c r="O30" s="252"/>
      <c r="P30" s="253"/>
      <c r="Q30" s="89"/>
      <c r="R30" s="165"/>
      <c r="S30" s="76"/>
      <c r="T30" s="76"/>
      <c r="U30" s="76"/>
      <c r="V30" s="76"/>
      <c r="W30" s="76"/>
      <c r="X30" s="76"/>
      <c r="Y30" s="76"/>
      <c r="Z30" s="76"/>
      <c r="AA30" s="68"/>
      <c r="AB30" s="166"/>
      <c r="AC30" s="6"/>
      <c r="AD30" s="95"/>
      <c r="AE30" s="99"/>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row>
    <row r="31" spans="1:252" s="96" customFormat="1" ht="20.25" customHeight="1">
      <c r="A31" s="32" t="str">
        <f t="shared" si="0"/>
        <v>Donnerstag</v>
      </c>
      <c r="B31" s="37">
        <f t="shared" si="2"/>
        <v>42957</v>
      </c>
      <c r="C31" s="185" t="str">
        <f>IF(OR(A31="Samstag",A31="Sonntag"),"",IF(COUNTIF(Übersicht!C$16:C$30,B31)&gt;0,"BA",""))</f>
        <v/>
      </c>
      <c r="D31" s="38"/>
      <c r="E31" s="172">
        <f t="shared" si="4"/>
        <v>2</v>
      </c>
      <c r="F31" s="176"/>
      <c r="G31" s="177"/>
      <c r="H31" s="178"/>
      <c r="I31" s="38">
        <f t="shared" si="1"/>
        <v>0</v>
      </c>
      <c r="J31" s="35">
        <f t="shared" si="3"/>
        <v>-2</v>
      </c>
      <c r="K31" s="36">
        <f t="shared" si="5"/>
        <v>-57.25</v>
      </c>
      <c r="L31" s="251"/>
      <c r="M31" s="252"/>
      <c r="N31" s="252"/>
      <c r="O31" s="252"/>
      <c r="P31" s="253"/>
      <c r="Q31" s="89"/>
      <c r="R31" s="165"/>
      <c r="S31" s="76"/>
      <c r="T31" s="76"/>
      <c r="U31" s="76"/>
      <c r="V31" s="76"/>
      <c r="W31" s="76"/>
      <c r="X31" s="76"/>
      <c r="Y31" s="76"/>
      <c r="Z31" s="76"/>
      <c r="AA31" s="68"/>
      <c r="AB31" s="166"/>
      <c r="AC31" s="6"/>
      <c r="AD31" s="95"/>
      <c r="AE31" s="99"/>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row>
    <row r="32" spans="1:252" s="96" customFormat="1" ht="20.25" customHeight="1">
      <c r="A32" s="32" t="str">
        <f t="shared" si="0"/>
        <v>Freitag</v>
      </c>
      <c r="B32" s="37">
        <f t="shared" si="2"/>
        <v>42958</v>
      </c>
      <c r="C32" s="185" t="str">
        <f>IF(OR(A32="Samstag",A32="Sonntag"),"",IF(COUNTIF(Übersicht!C$16:C$30,B32)&gt;0,"BA",""))</f>
        <v/>
      </c>
      <c r="D32" s="38"/>
      <c r="E32" s="172">
        <f t="shared" si="4"/>
        <v>2</v>
      </c>
      <c r="F32" s="176"/>
      <c r="G32" s="177"/>
      <c r="H32" s="178"/>
      <c r="I32" s="38">
        <f t="shared" si="1"/>
        <v>0</v>
      </c>
      <c r="J32" s="35">
        <f t="shared" si="3"/>
        <v>-2</v>
      </c>
      <c r="K32" s="36">
        <f t="shared" si="5"/>
        <v>-59.25</v>
      </c>
      <c r="L32" s="251"/>
      <c r="M32" s="252"/>
      <c r="N32" s="252"/>
      <c r="O32" s="252"/>
      <c r="P32" s="253"/>
      <c r="Q32" s="89"/>
      <c r="R32" s="165"/>
      <c r="S32" s="76"/>
      <c r="T32" s="76"/>
      <c r="U32" s="76"/>
      <c r="V32" s="76"/>
      <c r="W32" s="76"/>
      <c r="X32" s="76"/>
      <c r="Y32" s="76"/>
      <c r="Z32" s="76"/>
      <c r="AA32" s="68"/>
      <c r="AB32" s="166"/>
      <c r="AC32" s="6"/>
      <c r="AD32" s="95"/>
      <c r="AE32" s="99"/>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row>
    <row r="33" spans="1:252" s="96" customFormat="1" ht="20.25" customHeight="1">
      <c r="A33" s="32" t="str">
        <f t="shared" si="0"/>
        <v>Samstag</v>
      </c>
      <c r="B33" s="37">
        <f t="shared" si="2"/>
        <v>42959</v>
      </c>
      <c r="C33" s="185" t="str">
        <f>IF(OR(A33="Samstag",A33="Sonntag"),"",IF(COUNTIF(Übersicht!C$16:C$30,B33)&gt;0,"BA",""))</f>
        <v/>
      </c>
      <c r="D33" s="38"/>
      <c r="E33" s="172" t="str">
        <f t="shared" si="4"/>
        <v/>
      </c>
      <c r="F33" s="176"/>
      <c r="G33" s="177"/>
      <c r="H33" s="178"/>
      <c r="I33" s="38">
        <f t="shared" si="1"/>
        <v>0</v>
      </c>
      <c r="J33" s="35">
        <f t="shared" si="3"/>
        <v>0</v>
      </c>
      <c r="K33" s="36">
        <f t="shared" si="5"/>
        <v>-59.25</v>
      </c>
      <c r="L33" s="251"/>
      <c r="M33" s="252"/>
      <c r="N33" s="252"/>
      <c r="O33" s="252"/>
      <c r="P33" s="253"/>
      <c r="Q33" s="89"/>
      <c r="R33" s="165"/>
      <c r="S33" s="76"/>
      <c r="T33" s="76"/>
      <c r="U33" s="76"/>
      <c r="V33" s="76"/>
      <c r="W33" s="76"/>
      <c r="X33" s="76"/>
      <c r="Y33" s="76"/>
      <c r="Z33" s="76"/>
      <c r="AA33" s="68"/>
      <c r="AB33" s="166"/>
      <c r="AC33" s="6"/>
      <c r="AD33" s="95"/>
      <c r="AE33" s="99"/>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row>
    <row r="34" spans="1:252" s="96" customFormat="1" ht="20.25" customHeight="1">
      <c r="A34" s="32" t="str">
        <f t="shared" si="0"/>
        <v>Sonntag</v>
      </c>
      <c r="B34" s="37">
        <f t="shared" si="2"/>
        <v>42960</v>
      </c>
      <c r="C34" s="185" t="str">
        <f>IF(OR(A34="Samstag",A34="Sonntag"),"",IF(COUNTIF(Übersicht!C$16:C$30,B34)&gt;0,"BA",""))</f>
        <v/>
      </c>
      <c r="D34" s="38"/>
      <c r="E34" s="172" t="str">
        <f t="shared" si="4"/>
        <v/>
      </c>
      <c r="F34" s="176"/>
      <c r="G34" s="177"/>
      <c r="H34" s="178"/>
      <c r="I34" s="38">
        <f t="shared" si="1"/>
        <v>0</v>
      </c>
      <c r="J34" s="35">
        <f t="shared" si="3"/>
        <v>0</v>
      </c>
      <c r="K34" s="36">
        <f t="shared" si="5"/>
        <v>-59.25</v>
      </c>
      <c r="L34" s="251"/>
      <c r="M34" s="252"/>
      <c r="N34" s="252"/>
      <c r="O34" s="252"/>
      <c r="P34" s="253"/>
      <c r="Q34" s="89"/>
      <c r="R34" s="165"/>
      <c r="S34" s="76"/>
      <c r="T34" s="76"/>
      <c r="U34" s="76"/>
      <c r="V34" s="76"/>
      <c r="W34" s="76"/>
      <c r="X34" s="76"/>
      <c r="Y34" s="76"/>
      <c r="Z34" s="76"/>
      <c r="AA34" s="68"/>
      <c r="AB34" s="166"/>
      <c r="AC34" s="6"/>
      <c r="AD34" s="95"/>
      <c r="AE34" s="99"/>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row>
    <row r="35" spans="1:252" s="96" customFormat="1" ht="20.25" customHeight="1">
      <c r="A35" s="32" t="str">
        <f t="shared" si="0"/>
        <v>Montag</v>
      </c>
      <c r="B35" s="37">
        <f t="shared" si="2"/>
        <v>42961</v>
      </c>
      <c r="C35" s="185" t="str">
        <f>IF(OR(A35="Samstag",A35="Sonntag"),"",IF(COUNTIF(Übersicht!C$16:C$30,B35)&gt;0,"BA",""))</f>
        <v/>
      </c>
      <c r="D35" s="38"/>
      <c r="E35" s="172">
        <f t="shared" si="4"/>
        <v>2</v>
      </c>
      <c r="F35" s="176"/>
      <c r="G35" s="177"/>
      <c r="H35" s="178"/>
      <c r="I35" s="38">
        <f t="shared" si="1"/>
        <v>0</v>
      </c>
      <c r="J35" s="35">
        <f t="shared" si="3"/>
        <v>-2</v>
      </c>
      <c r="K35" s="36">
        <f t="shared" si="5"/>
        <v>-61.25</v>
      </c>
      <c r="L35" s="251"/>
      <c r="M35" s="252"/>
      <c r="N35" s="252"/>
      <c r="O35" s="252"/>
      <c r="P35" s="253"/>
      <c r="Q35" s="89"/>
      <c r="R35" s="165"/>
      <c r="S35" s="76"/>
      <c r="T35" s="76"/>
      <c r="U35" s="76"/>
      <c r="V35" s="76"/>
      <c r="W35" s="76"/>
      <c r="X35" s="76"/>
      <c r="Y35" s="76"/>
      <c r="Z35" s="76"/>
      <c r="AA35" s="68"/>
      <c r="AB35" s="166"/>
      <c r="AC35" s="6"/>
      <c r="AD35" s="95"/>
      <c r="AE35" s="99"/>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row>
    <row r="36" spans="1:252" s="96" customFormat="1" ht="20.25" customHeight="1">
      <c r="A36" s="32" t="str">
        <f t="shared" si="0"/>
        <v>Dienstag</v>
      </c>
      <c r="B36" s="37">
        <f t="shared" si="2"/>
        <v>42962</v>
      </c>
      <c r="C36" s="185" t="str">
        <f>IF(OR(A36="Samstag",A36="Sonntag"),"",IF(COUNTIF(Übersicht!C$16:C$30,B36)&gt;0,"BA",""))</f>
        <v/>
      </c>
      <c r="D36" s="38"/>
      <c r="E36" s="172">
        <f t="shared" si="4"/>
        <v>2</v>
      </c>
      <c r="F36" s="176"/>
      <c r="G36" s="177"/>
      <c r="H36" s="178"/>
      <c r="I36" s="38">
        <f t="shared" si="1"/>
        <v>0</v>
      </c>
      <c r="J36" s="35">
        <f t="shared" si="3"/>
        <v>-2</v>
      </c>
      <c r="K36" s="36">
        <f t="shared" si="5"/>
        <v>-63.25</v>
      </c>
      <c r="L36" s="251"/>
      <c r="M36" s="252"/>
      <c r="N36" s="252"/>
      <c r="O36" s="252"/>
      <c r="P36" s="253"/>
      <c r="Q36" s="89"/>
      <c r="R36" s="165"/>
      <c r="S36" s="76"/>
      <c r="T36" s="76"/>
      <c r="U36" s="76"/>
      <c r="V36" s="76"/>
      <c r="W36" s="76"/>
      <c r="X36" s="76"/>
      <c r="Y36" s="76"/>
      <c r="Z36" s="76"/>
      <c r="AA36" s="68"/>
      <c r="AB36" s="166"/>
      <c r="AC36" s="6"/>
      <c r="AD36" s="95"/>
      <c r="AE36" s="99"/>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row>
    <row r="37" spans="1:252" s="96" customFormat="1" ht="20.25" customHeight="1">
      <c r="A37" s="32" t="str">
        <f t="shared" si="0"/>
        <v>Mittwoch</v>
      </c>
      <c r="B37" s="37">
        <f t="shared" si="2"/>
        <v>42963</v>
      </c>
      <c r="C37" s="185" t="str">
        <f>IF(OR(A37="Samstag",A37="Sonntag"),"",IF(COUNTIF(Übersicht!C$16:C$30,B37)&gt;0,"BA",""))</f>
        <v/>
      </c>
      <c r="D37" s="38"/>
      <c r="E37" s="172">
        <f t="shared" si="4"/>
        <v>2</v>
      </c>
      <c r="F37" s="176"/>
      <c r="G37" s="177"/>
      <c r="H37" s="178"/>
      <c r="I37" s="38">
        <f t="shared" si="1"/>
        <v>0</v>
      </c>
      <c r="J37" s="35">
        <f t="shared" si="3"/>
        <v>-2</v>
      </c>
      <c r="K37" s="36">
        <f t="shared" si="5"/>
        <v>-65.25</v>
      </c>
      <c r="L37" s="251"/>
      <c r="M37" s="252"/>
      <c r="N37" s="252"/>
      <c r="O37" s="252"/>
      <c r="P37" s="253"/>
      <c r="Q37" s="89"/>
      <c r="R37" s="165"/>
      <c r="S37" s="76"/>
      <c r="T37" s="76"/>
      <c r="U37" s="76"/>
      <c r="V37" s="76"/>
      <c r="W37" s="76"/>
      <c r="X37" s="76"/>
      <c r="Y37" s="76"/>
      <c r="Z37" s="76"/>
      <c r="AA37" s="68"/>
      <c r="AB37" s="166"/>
      <c r="AC37" s="6"/>
      <c r="AD37" s="95"/>
      <c r="AE37" s="99"/>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row>
    <row r="38" spans="1:252" s="96" customFormat="1" ht="20.25" customHeight="1">
      <c r="A38" s="32" t="str">
        <f t="shared" si="0"/>
        <v>Donnerstag</v>
      </c>
      <c r="B38" s="37">
        <f t="shared" si="2"/>
        <v>42964</v>
      </c>
      <c r="C38" s="185" t="str">
        <f>IF(OR(A38="Samstag",A38="Sonntag"),"",IF(COUNTIF(Übersicht!C$16:C$30,B38)&gt;0,"BA",""))</f>
        <v/>
      </c>
      <c r="D38" s="38"/>
      <c r="E38" s="172">
        <f t="shared" si="4"/>
        <v>2</v>
      </c>
      <c r="F38" s="176"/>
      <c r="G38" s="177"/>
      <c r="H38" s="178"/>
      <c r="I38" s="38">
        <f t="shared" si="1"/>
        <v>0</v>
      </c>
      <c r="J38" s="35">
        <f t="shared" si="3"/>
        <v>-2</v>
      </c>
      <c r="K38" s="36">
        <f t="shared" si="5"/>
        <v>-67.25</v>
      </c>
      <c r="L38" s="251"/>
      <c r="M38" s="252"/>
      <c r="N38" s="252"/>
      <c r="O38" s="252"/>
      <c r="P38" s="253"/>
      <c r="Q38" s="89"/>
      <c r="R38" s="165"/>
      <c r="S38" s="76"/>
      <c r="T38" s="76"/>
      <c r="U38" s="76"/>
      <c r="V38" s="76"/>
      <c r="W38" s="76"/>
      <c r="X38" s="76"/>
      <c r="Y38" s="76"/>
      <c r="Z38" s="76"/>
      <c r="AA38" s="68"/>
      <c r="AB38" s="166"/>
      <c r="AC38" s="6"/>
      <c r="AD38" s="95"/>
      <c r="AE38" s="99"/>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row>
    <row r="39" spans="1:252" s="96" customFormat="1" ht="20.25" customHeight="1">
      <c r="A39" s="32" t="str">
        <f t="shared" si="0"/>
        <v>Freitag</v>
      </c>
      <c r="B39" s="37">
        <f t="shared" si="2"/>
        <v>42965</v>
      </c>
      <c r="C39" s="185" t="str">
        <f>IF(OR(A39="Samstag",A39="Sonntag"),"",IF(COUNTIF(Übersicht!C$16:C$30,B39)&gt;0,"BA",""))</f>
        <v/>
      </c>
      <c r="D39" s="38"/>
      <c r="E39" s="172">
        <f t="shared" si="4"/>
        <v>2</v>
      </c>
      <c r="F39" s="176"/>
      <c r="G39" s="177"/>
      <c r="H39" s="178"/>
      <c r="I39" s="38">
        <f t="shared" si="1"/>
        <v>0</v>
      </c>
      <c r="J39" s="35">
        <f t="shared" si="3"/>
        <v>-2</v>
      </c>
      <c r="K39" s="36">
        <f t="shared" si="5"/>
        <v>-69.25</v>
      </c>
      <c r="L39" s="251"/>
      <c r="M39" s="252"/>
      <c r="N39" s="252"/>
      <c r="O39" s="252"/>
      <c r="P39" s="253"/>
      <c r="Q39" s="89"/>
      <c r="R39" s="165"/>
      <c r="S39" s="76"/>
      <c r="T39" s="76"/>
      <c r="U39" s="76"/>
      <c r="V39" s="76"/>
      <c r="W39" s="76"/>
      <c r="X39" s="76"/>
      <c r="Y39" s="76"/>
      <c r="Z39" s="76"/>
      <c r="AA39" s="68"/>
      <c r="AB39" s="166"/>
      <c r="AC39" s="6"/>
      <c r="AD39" s="95"/>
      <c r="AE39" s="99"/>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row>
    <row r="40" spans="1:252" s="96" customFormat="1" ht="20.25" customHeight="1">
      <c r="A40" s="32" t="str">
        <f t="shared" si="0"/>
        <v>Samstag</v>
      </c>
      <c r="B40" s="37">
        <f t="shared" si="2"/>
        <v>42966</v>
      </c>
      <c r="C40" s="185" t="str">
        <f>IF(OR(A40="Samstag",A40="Sonntag"),"",IF(COUNTIF(Übersicht!C$16:C$30,B40)&gt;0,"BA",""))</f>
        <v/>
      </c>
      <c r="D40" s="38"/>
      <c r="E40" s="172" t="str">
        <f t="shared" si="4"/>
        <v/>
      </c>
      <c r="F40" s="176"/>
      <c r="G40" s="177"/>
      <c r="H40" s="178"/>
      <c r="I40" s="38">
        <f t="shared" si="1"/>
        <v>0</v>
      </c>
      <c r="J40" s="35">
        <f t="shared" si="3"/>
        <v>0</v>
      </c>
      <c r="K40" s="36">
        <f t="shared" si="5"/>
        <v>-69.25</v>
      </c>
      <c r="L40" s="251"/>
      <c r="M40" s="252"/>
      <c r="N40" s="252"/>
      <c r="O40" s="252"/>
      <c r="P40" s="253"/>
      <c r="Q40" s="89"/>
      <c r="R40" s="165"/>
      <c r="S40" s="76"/>
      <c r="T40" s="76"/>
      <c r="U40" s="76"/>
      <c r="V40" s="76"/>
      <c r="W40" s="76"/>
      <c r="X40" s="76"/>
      <c r="Y40" s="76"/>
      <c r="Z40" s="76"/>
      <c r="AA40" s="68"/>
      <c r="AB40" s="166"/>
      <c r="AC40" s="6"/>
      <c r="AD40" s="95"/>
      <c r="AE40" s="99"/>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row>
    <row r="41" spans="1:252" s="96" customFormat="1" ht="20.25" customHeight="1">
      <c r="A41" s="32" t="str">
        <f t="shared" si="0"/>
        <v>Sonntag</v>
      </c>
      <c r="B41" s="37">
        <f t="shared" si="2"/>
        <v>42967</v>
      </c>
      <c r="C41" s="185" t="str">
        <f>IF(OR(A41="Samstag",A41="Sonntag"),"",IF(COUNTIF(Übersicht!C$16:C$30,B41)&gt;0,"BA",""))</f>
        <v/>
      </c>
      <c r="D41" s="38"/>
      <c r="E41" s="172" t="str">
        <f t="shared" si="4"/>
        <v/>
      </c>
      <c r="F41" s="176"/>
      <c r="G41" s="177"/>
      <c r="H41" s="178"/>
      <c r="I41" s="38">
        <f t="shared" si="1"/>
        <v>0</v>
      </c>
      <c r="J41" s="35">
        <f t="shared" si="3"/>
        <v>0</v>
      </c>
      <c r="K41" s="36">
        <f t="shared" si="5"/>
        <v>-69.25</v>
      </c>
      <c r="L41" s="251"/>
      <c r="M41" s="252"/>
      <c r="N41" s="252"/>
      <c r="O41" s="252"/>
      <c r="P41" s="253"/>
      <c r="Q41" s="89"/>
      <c r="R41" s="165"/>
      <c r="S41" s="76"/>
      <c r="T41" s="76"/>
      <c r="U41" s="76"/>
      <c r="V41" s="76"/>
      <c r="W41" s="76"/>
      <c r="X41" s="76"/>
      <c r="Y41" s="76"/>
      <c r="Z41" s="76"/>
      <c r="AA41" s="68"/>
      <c r="AB41" s="166"/>
      <c r="AC41" s="6"/>
      <c r="AD41" s="95"/>
      <c r="AE41" s="99"/>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row>
    <row r="42" spans="1:252" s="96" customFormat="1" ht="20.25" customHeight="1">
      <c r="A42" s="32" t="str">
        <f t="shared" si="0"/>
        <v>Montag</v>
      </c>
      <c r="B42" s="37">
        <f t="shared" si="2"/>
        <v>42968</v>
      </c>
      <c r="C42" s="185" t="str">
        <f>IF(OR(A42="Samstag",A42="Sonntag"),"",IF(COUNTIF(Übersicht!C$16:C$30,B42)&gt;0,"BA",""))</f>
        <v/>
      </c>
      <c r="D42" s="38"/>
      <c r="E42" s="172">
        <f t="shared" si="4"/>
        <v>2</v>
      </c>
      <c r="F42" s="176"/>
      <c r="G42" s="177"/>
      <c r="H42" s="178"/>
      <c r="I42" s="38">
        <f t="shared" si="1"/>
        <v>0</v>
      </c>
      <c r="J42" s="35">
        <f t="shared" si="3"/>
        <v>-2</v>
      </c>
      <c r="K42" s="36">
        <f t="shared" si="5"/>
        <v>-71.25</v>
      </c>
      <c r="L42" s="251"/>
      <c r="M42" s="252"/>
      <c r="N42" s="252"/>
      <c r="O42" s="252"/>
      <c r="P42" s="253"/>
      <c r="Q42" s="89"/>
      <c r="R42" s="165"/>
      <c r="S42" s="76"/>
      <c r="T42" s="76"/>
      <c r="U42" s="76"/>
      <c r="V42" s="76"/>
      <c r="W42" s="76"/>
      <c r="X42" s="76"/>
      <c r="Y42" s="76"/>
      <c r="Z42" s="76"/>
      <c r="AA42" s="68"/>
      <c r="AB42" s="166"/>
      <c r="AC42" s="6"/>
      <c r="AD42" s="95"/>
      <c r="AE42" s="99"/>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row>
    <row r="43" spans="1:252" s="96" customFormat="1" ht="20.25" customHeight="1">
      <c r="A43" s="32" t="str">
        <f t="shared" si="0"/>
        <v>Dienstag</v>
      </c>
      <c r="B43" s="37">
        <f t="shared" si="2"/>
        <v>42969</v>
      </c>
      <c r="C43" s="185" t="str">
        <f>IF(OR(A43="Samstag",A43="Sonntag"),"",IF(COUNTIF(Übersicht!C$16:C$30,B43)&gt;0,"BA",""))</f>
        <v/>
      </c>
      <c r="D43" s="38"/>
      <c r="E43" s="172">
        <f t="shared" si="4"/>
        <v>2</v>
      </c>
      <c r="F43" s="176"/>
      <c r="G43" s="177"/>
      <c r="H43" s="178"/>
      <c r="I43" s="38">
        <f t="shared" si="1"/>
        <v>0</v>
      </c>
      <c r="J43" s="35">
        <f t="shared" si="3"/>
        <v>-2</v>
      </c>
      <c r="K43" s="36">
        <f t="shared" si="5"/>
        <v>-73.25</v>
      </c>
      <c r="L43" s="251"/>
      <c r="M43" s="252"/>
      <c r="N43" s="252"/>
      <c r="O43" s="252"/>
      <c r="P43" s="253"/>
      <c r="Q43" s="89"/>
      <c r="R43" s="165"/>
      <c r="S43" s="76"/>
      <c r="T43" s="76"/>
      <c r="U43" s="76"/>
      <c r="V43" s="76"/>
      <c r="W43" s="76"/>
      <c r="X43" s="76"/>
      <c r="Y43" s="76"/>
      <c r="Z43" s="76"/>
      <c r="AA43" s="68"/>
      <c r="AB43" s="166"/>
      <c r="AC43" s="6"/>
      <c r="AD43" s="95"/>
      <c r="AE43" s="99"/>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row>
    <row r="44" spans="1:252" s="96" customFormat="1" ht="20.25" customHeight="1">
      <c r="A44" s="32" t="str">
        <f t="shared" si="0"/>
        <v>Mittwoch</v>
      </c>
      <c r="B44" s="37">
        <f t="shared" si="2"/>
        <v>42970</v>
      </c>
      <c r="C44" s="185" t="str">
        <f>IF(OR(A44="Samstag",A44="Sonntag"),"",IF(COUNTIF(Übersicht!C$16:C$30,B44)&gt;0,"BA",""))</f>
        <v/>
      </c>
      <c r="D44" s="38"/>
      <c r="E44" s="172">
        <f t="shared" si="4"/>
        <v>2</v>
      </c>
      <c r="F44" s="176"/>
      <c r="G44" s="177"/>
      <c r="H44" s="178"/>
      <c r="I44" s="38">
        <f t="shared" si="1"/>
        <v>0</v>
      </c>
      <c r="J44" s="35">
        <f t="shared" si="3"/>
        <v>-2</v>
      </c>
      <c r="K44" s="36">
        <f t="shared" si="5"/>
        <v>-75.25</v>
      </c>
      <c r="L44" s="251"/>
      <c r="M44" s="252"/>
      <c r="N44" s="252"/>
      <c r="O44" s="252"/>
      <c r="P44" s="253"/>
      <c r="Q44" s="89"/>
      <c r="R44" s="165"/>
      <c r="S44" s="76"/>
      <c r="T44" s="76"/>
      <c r="U44" s="76"/>
      <c r="V44" s="76"/>
      <c r="W44" s="76"/>
      <c r="X44" s="76"/>
      <c r="Y44" s="76"/>
      <c r="Z44" s="76"/>
      <c r="AA44" s="68"/>
      <c r="AB44" s="166"/>
      <c r="AC44" s="6"/>
      <c r="AD44" s="95"/>
      <c r="AE44" s="99"/>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row>
    <row r="45" spans="1:252" s="96" customFormat="1" ht="20.25" customHeight="1">
      <c r="A45" s="32" t="str">
        <f t="shared" si="0"/>
        <v>Donnerstag</v>
      </c>
      <c r="B45" s="37">
        <f t="shared" si="2"/>
        <v>42971</v>
      </c>
      <c r="C45" s="185" t="str">
        <f>IF(OR(A45="Samstag",A45="Sonntag"),"",IF(COUNTIF(Übersicht!C$16:C$30,B45)&gt;0,"BA",""))</f>
        <v/>
      </c>
      <c r="D45" s="38"/>
      <c r="E45" s="172">
        <f t="shared" si="4"/>
        <v>2</v>
      </c>
      <c r="F45" s="176"/>
      <c r="G45" s="177"/>
      <c r="H45" s="178"/>
      <c r="I45" s="38">
        <f t="shared" si="1"/>
        <v>0</v>
      </c>
      <c r="J45" s="35">
        <f t="shared" si="3"/>
        <v>-2</v>
      </c>
      <c r="K45" s="36">
        <f t="shared" si="5"/>
        <v>-77.25</v>
      </c>
      <c r="L45" s="251"/>
      <c r="M45" s="252"/>
      <c r="N45" s="252"/>
      <c r="O45" s="252"/>
      <c r="P45" s="253"/>
      <c r="Q45" s="89"/>
      <c r="R45" s="165"/>
      <c r="S45" s="76"/>
      <c r="T45" s="76"/>
      <c r="U45" s="76"/>
      <c r="V45" s="76"/>
      <c r="W45" s="76"/>
      <c r="X45" s="76"/>
      <c r="Y45" s="76"/>
      <c r="Z45" s="76"/>
      <c r="AA45" s="68"/>
      <c r="AB45" s="166"/>
      <c r="AC45" s="6"/>
      <c r="AD45" s="95"/>
      <c r="AE45" s="99"/>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row>
    <row r="46" spans="1:252" s="96" customFormat="1" ht="20.25" customHeight="1">
      <c r="A46" s="32" t="str">
        <f t="shared" si="0"/>
        <v>Freitag</v>
      </c>
      <c r="B46" s="37">
        <f t="shared" si="2"/>
        <v>42972</v>
      </c>
      <c r="C46" s="185" t="str">
        <f>IF(OR(A46="Samstag",A46="Sonntag"),"",IF(COUNTIF(Übersicht!C$16:C$30,B46)&gt;0,"BA",""))</f>
        <v/>
      </c>
      <c r="D46" s="38"/>
      <c r="E46" s="172">
        <f t="shared" si="4"/>
        <v>2</v>
      </c>
      <c r="F46" s="176"/>
      <c r="G46" s="177"/>
      <c r="H46" s="178"/>
      <c r="I46" s="38">
        <f t="shared" si="1"/>
        <v>0</v>
      </c>
      <c r="J46" s="35">
        <f t="shared" si="3"/>
        <v>-2</v>
      </c>
      <c r="K46" s="36">
        <f t="shared" si="5"/>
        <v>-79.25</v>
      </c>
      <c r="L46" s="251"/>
      <c r="M46" s="252"/>
      <c r="N46" s="252"/>
      <c r="O46" s="252"/>
      <c r="P46" s="253"/>
      <c r="Q46" s="89"/>
      <c r="R46" s="165"/>
      <c r="S46" s="76"/>
      <c r="T46" s="76"/>
      <c r="U46" s="76"/>
      <c r="V46" s="76"/>
      <c r="W46" s="76"/>
      <c r="X46" s="76"/>
      <c r="Y46" s="76"/>
      <c r="Z46" s="76"/>
      <c r="AA46" s="68"/>
      <c r="AB46" s="166"/>
      <c r="AC46" s="6"/>
      <c r="AD46" s="95"/>
      <c r="AE46" s="99"/>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row>
    <row r="47" spans="1:252" s="96" customFormat="1" ht="20.25" customHeight="1">
      <c r="A47" s="32" t="str">
        <f t="shared" si="0"/>
        <v>Samstag</v>
      </c>
      <c r="B47" s="37">
        <f t="shared" si="2"/>
        <v>42973</v>
      </c>
      <c r="C47" s="185" t="str">
        <f>IF(OR(A47="Samstag",A47="Sonntag"),"",IF(COUNTIF(Übersicht!C$16:C$30,B47)&gt;0,"BA",""))</f>
        <v/>
      </c>
      <c r="D47" s="38"/>
      <c r="E47" s="172" t="str">
        <f t="shared" si="4"/>
        <v/>
      </c>
      <c r="F47" s="176"/>
      <c r="G47" s="177"/>
      <c r="H47" s="178"/>
      <c r="I47" s="38">
        <f t="shared" si="1"/>
        <v>0</v>
      </c>
      <c r="J47" s="35">
        <f t="shared" si="3"/>
        <v>0</v>
      </c>
      <c r="K47" s="36">
        <f t="shared" si="5"/>
        <v>-79.25</v>
      </c>
      <c r="L47" s="251"/>
      <c r="M47" s="252"/>
      <c r="N47" s="252"/>
      <c r="O47" s="252"/>
      <c r="P47" s="253"/>
      <c r="Q47" s="89"/>
      <c r="R47" s="165"/>
      <c r="S47" s="76"/>
      <c r="T47" s="76"/>
      <c r="U47" s="76"/>
      <c r="V47" s="76"/>
      <c r="W47" s="76"/>
      <c r="X47" s="76"/>
      <c r="Y47" s="76"/>
      <c r="Z47" s="76"/>
      <c r="AA47" s="68"/>
      <c r="AB47" s="166"/>
      <c r="AC47" s="6"/>
      <c r="AD47" s="95"/>
      <c r="AE47" s="99"/>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row>
    <row r="48" spans="1:252" s="96" customFormat="1" ht="20.25" customHeight="1">
      <c r="A48" s="32" t="str">
        <f t="shared" si="0"/>
        <v>Sonntag</v>
      </c>
      <c r="B48" s="37">
        <f t="shared" si="2"/>
        <v>42974</v>
      </c>
      <c r="C48" s="185" t="str">
        <f>IF(OR(A48="Samstag",A48="Sonntag"),"",IF(COUNTIF(Übersicht!C$16:C$30,B48)&gt;0,"BA",""))</f>
        <v/>
      </c>
      <c r="D48" s="38"/>
      <c r="E48" s="172" t="str">
        <f t="shared" si="4"/>
        <v/>
      </c>
      <c r="F48" s="176"/>
      <c r="G48" s="177"/>
      <c r="H48" s="178"/>
      <c r="I48" s="38">
        <f t="shared" si="1"/>
        <v>0</v>
      </c>
      <c r="J48" s="35">
        <f t="shared" si="3"/>
        <v>0</v>
      </c>
      <c r="K48" s="36">
        <f t="shared" si="5"/>
        <v>-79.25</v>
      </c>
      <c r="L48" s="251"/>
      <c r="M48" s="252"/>
      <c r="N48" s="252"/>
      <c r="O48" s="252"/>
      <c r="P48" s="253"/>
      <c r="Q48" s="89"/>
      <c r="R48" s="165"/>
      <c r="S48" s="76"/>
      <c r="T48" s="76"/>
      <c r="U48" s="76"/>
      <c r="V48" s="76"/>
      <c r="W48" s="76"/>
      <c r="X48" s="76"/>
      <c r="Y48" s="76"/>
      <c r="Z48" s="76"/>
      <c r="AA48" s="68"/>
      <c r="AB48" s="166"/>
      <c r="AC48" s="6"/>
      <c r="AD48" s="95"/>
      <c r="AE48" s="99"/>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row>
    <row r="49" spans="1:252" s="96" customFormat="1" ht="20.25" customHeight="1">
      <c r="A49" s="32" t="str">
        <f t="shared" si="0"/>
        <v>Montag</v>
      </c>
      <c r="B49" s="37">
        <f t="shared" si="2"/>
        <v>42975</v>
      </c>
      <c r="C49" s="185" t="str">
        <f>IF(OR(A49="Samstag",A49="Sonntag"),"",IF(COUNTIF(Übersicht!C$16:C$30,B49)&gt;0,"BA",""))</f>
        <v/>
      </c>
      <c r="D49" s="38"/>
      <c r="E49" s="172">
        <f t="shared" si="4"/>
        <v>2</v>
      </c>
      <c r="F49" s="176"/>
      <c r="G49" s="177"/>
      <c r="H49" s="178"/>
      <c r="I49" s="38">
        <f t="shared" si="1"/>
        <v>0</v>
      </c>
      <c r="J49" s="35">
        <f t="shared" si="3"/>
        <v>-2</v>
      </c>
      <c r="K49" s="36">
        <f t="shared" si="5"/>
        <v>-81.25</v>
      </c>
      <c r="L49" s="251"/>
      <c r="M49" s="252"/>
      <c r="N49" s="252"/>
      <c r="O49" s="252"/>
      <c r="P49" s="253"/>
      <c r="Q49" s="89"/>
      <c r="R49" s="165"/>
      <c r="S49" s="76"/>
      <c r="T49" s="76"/>
      <c r="U49" s="76"/>
      <c r="V49" s="76"/>
      <c r="W49" s="76"/>
      <c r="X49" s="76"/>
      <c r="Y49" s="76"/>
      <c r="Z49" s="76"/>
      <c r="AA49" s="68"/>
      <c r="AB49" s="166"/>
      <c r="AC49" s="6"/>
      <c r="AD49" s="95"/>
      <c r="AE49" s="99"/>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row>
    <row r="50" spans="1:252" s="96" customFormat="1" ht="20.25" customHeight="1">
      <c r="A50" s="32" t="str">
        <f t="shared" si="0"/>
        <v>Dienstag</v>
      </c>
      <c r="B50" s="37">
        <f t="shared" si="2"/>
        <v>42976</v>
      </c>
      <c r="C50" s="185" t="str">
        <f>IF(OR(A50="Samstag",A50="Sonntag"),"",IF(COUNTIF(Übersicht!C$16:C$30,B50)&gt;0,"BA",""))</f>
        <v/>
      </c>
      <c r="D50" s="38"/>
      <c r="E50" s="172">
        <f t="shared" si="4"/>
        <v>2</v>
      </c>
      <c r="F50" s="176"/>
      <c r="G50" s="177"/>
      <c r="H50" s="178"/>
      <c r="I50" s="38">
        <f t="shared" si="1"/>
        <v>0</v>
      </c>
      <c r="J50" s="35">
        <f t="shared" si="3"/>
        <v>-2</v>
      </c>
      <c r="K50" s="36">
        <f t="shared" si="5"/>
        <v>-83.25</v>
      </c>
      <c r="L50" s="251"/>
      <c r="M50" s="252"/>
      <c r="N50" s="252"/>
      <c r="O50" s="252"/>
      <c r="P50" s="253"/>
      <c r="Q50" s="89"/>
      <c r="R50" s="165"/>
      <c r="S50" s="76"/>
      <c r="T50" s="76"/>
      <c r="U50" s="76"/>
      <c r="V50" s="76"/>
      <c r="W50" s="76"/>
      <c r="X50" s="76"/>
      <c r="Y50" s="76"/>
      <c r="Z50" s="76"/>
      <c r="AA50" s="68"/>
      <c r="AB50" s="166"/>
      <c r="AC50" s="6"/>
      <c r="AD50" s="95"/>
      <c r="AE50" s="99"/>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row>
    <row r="51" spans="1:252" s="96" customFormat="1" ht="20.25" customHeight="1">
      <c r="A51" s="32" t="str">
        <f t="shared" si="0"/>
        <v>Mittwoch</v>
      </c>
      <c r="B51" s="37">
        <f t="shared" si="2"/>
        <v>42977</v>
      </c>
      <c r="C51" s="185" t="str">
        <f>IF(OR(A51="Samstag",A51="Sonntag"),"",IF(COUNTIF(Übersicht!C$16:C$30,B51)&gt;0,"BA",""))</f>
        <v/>
      </c>
      <c r="D51" s="38"/>
      <c r="E51" s="172">
        <f t="shared" si="4"/>
        <v>2</v>
      </c>
      <c r="F51" s="176"/>
      <c r="G51" s="177"/>
      <c r="H51" s="178"/>
      <c r="I51" s="38">
        <f t="shared" si="1"/>
        <v>0</v>
      </c>
      <c r="J51" s="35">
        <f t="shared" si="3"/>
        <v>-2</v>
      </c>
      <c r="K51" s="36">
        <f t="shared" si="5"/>
        <v>-85.25</v>
      </c>
      <c r="L51" s="251"/>
      <c r="M51" s="252"/>
      <c r="N51" s="252"/>
      <c r="O51" s="252"/>
      <c r="P51" s="253"/>
      <c r="Q51" s="89"/>
      <c r="R51" s="165"/>
      <c r="S51" s="76"/>
      <c r="T51" s="76"/>
      <c r="U51" s="76"/>
      <c r="V51" s="76"/>
      <c r="W51" s="76"/>
      <c r="X51" s="76"/>
      <c r="Y51" s="76"/>
      <c r="Z51" s="76"/>
      <c r="AA51" s="68"/>
      <c r="AB51" s="166"/>
      <c r="AC51" s="6"/>
      <c r="AD51" s="95"/>
      <c r="AE51" s="99"/>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row>
    <row r="52" spans="1:252" s="96" customFormat="1" ht="20.25" customHeight="1" thickBot="1">
      <c r="A52" s="32" t="str">
        <f t="shared" si="0"/>
        <v>Donnerstag</v>
      </c>
      <c r="B52" s="37">
        <f t="shared" si="2"/>
        <v>42978</v>
      </c>
      <c r="C52" s="185" t="str">
        <f>IF(OR(A52="Samstag",A52="Sonntag"),"",IF(COUNTIF(Übersicht!C$16:C$30,B52)&gt;0,"BA",""))</f>
        <v/>
      </c>
      <c r="D52" s="39"/>
      <c r="E52" s="172">
        <f t="shared" si="4"/>
        <v>2</v>
      </c>
      <c r="F52" s="198"/>
      <c r="G52" s="199"/>
      <c r="H52" s="200"/>
      <c r="I52" s="38">
        <f t="shared" si="1"/>
        <v>0</v>
      </c>
      <c r="J52" s="35">
        <f t="shared" si="3"/>
        <v>-2</v>
      </c>
      <c r="K52" s="40">
        <f t="shared" si="5"/>
        <v>-87.25</v>
      </c>
      <c r="L52" s="282"/>
      <c r="M52" s="283"/>
      <c r="N52" s="283"/>
      <c r="O52" s="283"/>
      <c r="P52" s="284"/>
      <c r="Q52" s="89"/>
      <c r="R52" s="165"/>
      <c r="S52" s="77"/>
      <c r="T52" s="77"/>
      <c r="U52" s="77"/>
      <c r="V52" s="77"/>
      <c r="W52" s="77"/>
      <c r="X52" s="77"/>
      <c r="Y52" s="77"/>
      <c r="Z52" s="78"/>
      <c r="AA52" s="68"/>
      <c r="AB52" s="166"/>
      <c r="AC52" s="6"/>
      <c r="AD52" s="95"/>
      <c r="AE52" s="99"/>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row>
    <row r="53" spans="1:252" s="96" customFormat="1" ht="18.75" customHeight="1">
      <c r="A53" s="6"/>
      <c r="B53" s="41" t="s">
        <v>26</v>
      </c>
      <c r="C53" s="42"/>
      <c r="D53" s="43"/>
      <c r="E53" s="43" t="s">
        <v>11</v>
      </c>
      <c r="F53" s="44"/>
      <c r="G53" s="44"/>
      <c r="H53" s="44"/>
      <c r="I53" s="43" t="s">
        <v>20</v>
      </c>
      <c r="J53" s="43" t="s">
        <v>28</v>
      </c>
      <c r="K53" s="43" t="s">
        <v>27</v>
      </c>
      <c r="L53" s="45"/>
      <c r="M53" s="45"/>
      <c r="N53" s="45"/>
      <c r="O53" s="45"/>
      <c r="P53" s="46"/>
      <c r="Q53" s="160"/>
      <c r="R53" s="160"/>
      <c r="S53" s="76"/>
      <c r="T53" s="183"/>
      <c r="U53" s="79"/>
      <c r="V53" s="6"/>
      <c r="W53" s="78"/>
      <c r="X53" s="76"/>
      <c r="Y53" s="80"/>
      <c r="Z53" s="80"/>
      <c r="AA53" s="68"/>
      <c r="AB53" s="68"/>
      <c r="AC53" s="6"/>
      <c r="AD53" s="95"/>
      <c r="AE53" s="99"/>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row>
    <row r="54" spans="1:252" s="96" customFormat="1" ht="18.75" customHeight="1">
      <c r="A54" s="6"/>
      <c r="B54" s="47"/>
      <c r="C54" s="48"/>
      <c r="D54" s="49"/>
      <c r="E54" s="50">
        <f>SUM(E22:E52)</f>
        <v>46</v>
      </c>
      <c r="F54" s="51"/>
      <c r="G54" s="52"/>
      <c r="H54" s="49"/>
      <c r="I54" s="50">
        <f>SUM(I22:I52)</f>
        <v>0</v>
      </c>
      <c r="J54" s="50">
        <f>SUM(J22:J52)</f>
        <v>-46</v>
      </c>
      <c r="K54" s="50">
        <f>K52</f>
        <v>-87.25</v>
      </c>
      <c r="L54" s="91"/>
      <c r="M54" s="91"/>
      <c r="N54" s="91"/>
      <c r="O54" s="91"/>
      <c r="P54" s="53"/>
      <c r="Q54" s="161"/>
      <c r="R54" s="161"/>
      <c r="S54" s="81"/>
      <c r="T54" s="82"/>
      <c r="U54" s="82"/>
      <c r="V54" s="6"/>
      <c r="W54" s="81"/>
      <c r="X54" s="81"/>
      <c r="Y54" s="6"/>
      <c r="Z54" s="6"/>
      <c r="AA54" s="68"/>
      <c r="AB54" s="68"/>
      <c r="AC54" s="6"/>
      <c r="AD54" s="95"/>
      <c r="AE54" s="99"/>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row>
    <row r="55" spans="1:252" s="96" customFormat="1" ht="15">
      <c r="A55" s="6"/>
      <c r="B55" s="54"/>
      <c r="C55" s="54"/>
      <c r="D55" s="54"/>
      <c r="E55" s="54"/>
      <c r="F55" s="55"/>
      <c r="G55" s="56"/>
      <c r="H55" s="100"/>
      <c r="I55" s="6"/>
      <c r="J55" s="101"/>
      <c r="K55" s="257" t="str">
        <f>IF($E$54*1.5&lt;IF($M$7&lt;0,$I$54+$M$7,$I$54),"Überschreitung der zulässigen Monatsarbeitszeit um &gt;50%","")</f>
        <v/>
      </c>
      <c r="L55" s="257"/>
      <c r="M55" s="257"/>
      <c r="N55" s="257"/>
      <c r="O55" s="257"/>
      <c r="P55" s="60"/>
      <c r="Q55" s="162"/>
      <c r="R55" s="162"/>
      <c r="S55" s="83"/>
      <c r="T55" s="83"/>
      <c r="U55" s="83"/>
      <c r="V55" s="6"/>
      <c r="W55" s="6"/>
      <c r="X55" s="76"/>
      <c r="Y55" s="6"/>
      <c r="Z55" s="6"/>
      <c r="AA55" s="68"/>
      <c r="AB55" s="68"/>
      <c r="AC55" s="6"/>
      <c r="AD55" s="95"/>
      <c r="AE55" s="99"/>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row>
    <row r="56" spans="1:252" s="96" customFormat="1" ht="15">
      <c r="A56" s="6"/>
      <c r="B56" s="54"/>
      <c r="C56" s="54"/>
      <c r="D56" s="54"/>
      <c r="E56" s="54"/>
      <c r="F56" s="55"/>
      <c r="G56" s="56"/>
      <c r="H56" s="102"/>
      <c r="I56" s="101"/>
      <c r="J56" s="101"/>
      <c r="K56" s="58"/>
      <c r="L56" s="59"/>
      <c r="M56" s="59"/>
      <c r="N56" s="59"/>
      <c r="O56" s="59"/>
      <c r="P56" s="60"/>
      <c r="Q56" s="162"/>
      <c r="R56" s="162"/>
      <c r="S56" s="83"/>
      <c r="T56" s="83"/>
      <c r="U56" s="83"/>
      <c r="V56" s="6"/>
      <c r="W56" s="6"/>
      <c r="X56" s="81"/>
      <c r="Y56" s="6"/>
      <c r="Z56" s="6"/>
      <c r="AA56" s="68"/>
      <c r="AB56" s="68"/>
      <c r="AC56" s="6"/>
      <c r="AD56" s="95"/>
      <c r="AE56" s="99"/>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row>
    <row r="57" spans="1:252" s="96" customFormat="1" ht="15">
      <c r="A57" s="6"/>
      <c r="B57" s="61"/>
      <c r="C57" s="61"/>
      <c r="D57" s="61"/>
      <c r="E57" s="61"/>
      <c r="F57" s="61"/>
      <c r="G57" s="61"/>
      <c r="H57" s="62"/>
      <c r="I57" s="6"/>
      <c r="J57" s="6"/>
      <c r="K57" s="6" t="s">
        <v>75</v>
      </c>
      <c r="L57" s="6"/>
      <c r="M57" s="6"/>
      <c r="N57" s="6"/>
      <c r="O57" s="57"/>
      <c r="P57" s="24"/>
      <c r="Q57" s="156"/>
      <c r="R57" s="156"/>
      <c r="S57" s="6"/>
      <c r="T57" s="6"/>
      <c r="U57" s="6"/>
      <c r="V57" s="6"/>
      <c r="W57" s="6"/>
      <c r="X57" s="6"/>
      <c r="Y57" s="6"/>
      <c r="Z57" s="6"/>
      <c r="AA57" s="68"/>
      <c r="AB57" s="68"/>
      <c r="AC57" s="6"/>
      <c r="AD57" s="95"/>
      <c r="AE57" s="99"/>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row>
    <row r="58" spans="1:252" s="96" customFormat="1" ht="15">
      <c r="A58" s="6"/>
      <c r="B58" s="62"/>
      <c r="C58" s="62"/>
      <c r="D58" s="62"/>
      <c r="E58" s="62"/>
      <c r="F58" s="62"/>
      <c r="G58" s="62"/>
      <c r="H58" s="32"/>
      <c r="I58" s="103"/>
      <c r="J58" s="68"/>
      <c r="K58" s="6" t="s">
        <v>76</v>
      </c>
      <c r="L58" s="206"/>
      <c r="M58" s="207"/>
      <c r="N58" s="207"/>
      <c r="O58" s="201"/>
      <c r="P58" s="63"/>
      <c r="Q58" s="163"/>
      <c r="R58" s="163"/>
      <c r="S58" s="84"/>
      <c r="T58" s="84"/>
      <c r="U58" s="84"/>
      <c r="V58" s="6"/>
      <c r="W58" s="6"/>
      <c r="X58" s="6"/>
      <c r="Y58" s="6"/>
      <c r="Z58" s="6"/>
      <c r="AA58" s="68"/>
      <c r="AB58" s="68"/>
      <c r="AC58" s="6"/>
      <c r="AD58" s="95"/>
      <c r="AE58" s="99"/>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row>
    <row r="59" spans="1:252" s="96" customFormat="1" ht="15">
      <c r="A59" s="6"/>
      <c r="B59" s="64"/>
      <c r="C59" s="64"/>
      <c r="D59" s="64"/>
      <c r="E59" s="64"/>
      <c r="F59" s="64"/>
      <c r="G59" s="62"/>
      <c r="H59" s="208"/>
      <c r="I59" s="208"/>
      <c r="J59" s="208"/>
      <c r="K59" s="65"/>
      <c r="L59" s="65"/>
      <c r="M59" s="65"/>
      <c r="N59" s="65"/>
      <c r="O59" s="65"/>
      <c r="P59" s="66"/>
      <c r="Q59" s="156"/>
      <c r="R59" s="156"/>
      <c r="S59" s="6"/>
      <c r="T59" s="6"/>
      <c r="U59" s="6"/>
      <c r="V59" s="6"/>
      <c r="W59" s="6"/>
      <c r="X59" s="6"/>
      <c r="Y59" s="6"/>
      <c r="Z59" s="6"/>
      <c r="AA59" s="68"/>
      <c r="AB59" s="68"/>
      <c r="AC59" s="6"/>
      <c r="AD59" s="95"/>
      <c r="AE59" s="99"/>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row>
    <row r="60" spans="1:252" s="96" customFormat="1" ht="15">
      <c r="A60" s="6"/>
      <c r="B60" s="67" t="s">
        <v>4</v>
      </c>
      <c r="C60" s="280" t="s">
        <v>5</v>
      </c>
      <c r="D60" s="280"/>
      <c r="E60" s="280"/>
      <c r="F60" s="280"/>
      <c r="G60" s="281"/>
      <c r="H60" s="32"/>
      <c r="I60" s="104"/>
      <c r="J60" s="6"/>
      <c r="K60" s="67" t="s">
        <v>4</v>
      </c>
      <c r="L60" s="281" t="s">
        <v>66</v>
      </c>
      <c r="M60" s="281"/>
      <c r="N60" s="281"/>
      <c r="O60" s="281"/>
      <c r="P60" s="281"/>
      <c r="Q60" s="24"/>
      <c r="R60" s="6"/>
      <c r="S60" s="6"/>
      <c r="T60" s="6"/>
      <c r="U60" s="6"/>
      <c r="V60" s="6"/>
      <c r="W60" s="6"/>
      <c r="X60" s="6"/>
      <c r="Y60" s="6"/>
      <c r="Z60" s="6"/>
      <c r="AA60" s="68"/>
      <c r="AB60" s="68"/>
      <c r="AC60" s="6"/>
      <c r="AD60" s="95"/>
      <c r="AE60" s="99"/>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row>
    <row r="61" spans="1:252" s="96" customFormat="1" ht="15">
      <c r="A61" s="6"/>
      <c r="B61" s="67"/>
      <c r="C61" s="205"/>
      <c r="D61" s="205"/>
      <c r="E61" s="205"/>
      <c r="F61" s="205"/>
      <c r="G61" s="205"/>
      <c r="H61" s="32"/>
      <c r="I61" s="104"/>
      <c r="J61" s="6"/>
      <c r="K61" s="67"/>
      <c r="L61" s="205"/>
      <c r="M61" s="205"/>
      <c r="N61" s="205"/>
      <c r="O61" s="205"/>
      <c r="P61" s="205"/>
      <c r="Q61" s="24"/>
      <c r="R61" s="6"/>
      <c r="S61" s="6"/>
      <c r="T61" s="6"/>
      <c r="U61" s="6"/>
      <c r="V61" s="6"/>
      <c r="W61" s="6"/>
      <c r="X61" s="6"/>
      <c r="Y61" s="6"/>
      <c r="Z61" s="6"/>
      <c r="AA61" s="68"/>
      <c r="AB61" s="68"/>
      <c r="AC61" s="6"/>
      <c r="AD61" s="95"/>
      <c r="AE61" s="99"/>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row>
    <row r="62" spans="1:252" s="96" customFormat="1" ht="15">
      <c r="A62" s="6"/>
      <c r="B62" s="57"/>
      <c r="C62" s="57"/>
      <c r="D62" s="57"/>
      <c r="E62" s="57"/>
      <c r="F62" s="57"/>
      <c r="G62" s="57"/>
      <c r="H62" s="105" t="s">
        <v>46</v>
      </c>
      <c r="I62" s="32"/>
      <c r="J62" s="106">
        <v>42114</v>
      </c>
      <c r="K62" s="57"/>
      <c r="L62" s="57"/>
      <c r="M62" s="57"/>
      <c r="N62" s="57"/>
      <c r="O62" s="57"/>
      <c r="P62" s="24"/>
      <c r="Q62" s="24"/>
      <c r="R62" s="6"/>
      <c r="S62" s="6"/>
      <c r="T62" s="6"/>
      <c r="U62" s="6"/>
      <c r="V62" s="68"/>
      <c r="W62" s="6"/>
      <c r="X62" s="6"/>
      <c r="Y62" s="6"/>
      <c r="Z62" s="6"/>
      <c r="AA62" s="68"/>
      <c r="AB62" s="68"/>
      <c r="AC62" s="6"/>
      <c r="AD62" s="95"/>
      <c r="AE62" s="99"/>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row>
    <row r="63" spans="1:252" s="96" customFormat="1" ht="15" hidden="1">
      <c r="A63" s="6"/>
      <c r="B63" s="57"/>
      <c r="C63" s="57"/>
      <c r="D63" s="57"/>
      <c r="E63" s="57"/>
      <c r="F63" s="57"/>
      <c r="G63" s="57"/>
      <c r="H63" s="57"/>
      <c r="I63" s="57"/>
      <c r="J63" s="57"/>
      <c r="K63" s="57"/>
      <c r="L63" s="57"/>
      <c r="M63" s="57"/>
      <c r="N63" s="57"/>
      <c r="O63" s="57"/>
      <c r="P63" s="24"/>
      <c r="Q63" s="24"/>
      <c r="R63" s="6"/>
      <c r="S63" s="6"/>
      <c r="T63" s="6"/>
      <c r="U63" s="6"/>
      <c r="V63" s="6"/>
      <c r="W63" s="6"/>
      <c r="X63" s="6"/>
      <c r="Y63" s="6"/>
      <c r="Z63" s="6"/>
      <c r="AA63" s="68"/>
      <c r="AB63" s="68"/>
      <c r="AC63" s="6"/>
      <c r="AD63" s="95"/>
      <c r="AE63" s="99"/>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row>
    <row r="64" spans="1:252" s="96" customFormat="1" ht="15" hidden="1">
      <c r="A64" s="6"/>
      <c r="B64" s="57"/>
      <c r="C64" s="57"/>
      <c r="D64" s="57"/>
      <c r="E64" s="57"/>
      <c r="F64" s="57"/>
      <c r="G64" s="57"/>
      <c r="H64" s="57"/>
      <c r="I64" s="57"/>
      <c r="J64" s="57"/>
      <c r="K64" s="57"/>
      <c r="L64" s="57"/>
      <c r="M64" s="57"/>
      <c r="N64" s="57"/>
      <c r="O64" s="57"/>
      <c r="P64" s="24"/>
      <c r="Q64" s="24"/>
      <c r="R64" s="6"/>
      <c r="S64" s="6"/>
      <c r="T64" s="6"/>
      <c r="U64" s="6"/>
      <c r="V64" s="6"/>
      <c r="W64" s="6"/>
      <c r="X64" s="6"/>
      <c r="Y64" s="6"/>
      <c r="Z64" s="6"/>
      <c r="AA64" s="68"/>
      <c r="AB64" s="68"/>
      <c r="AC64" s="6"/>
      <c r="AD64" s="95"/>
      <c r="AE64" s="99"/>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row>
    <row r="65" spans="1:252" s="96" customFormat="1" ht="15" hidden="1">
      <c r="A65" s="6"/>
      <c r="B65" s="57"/>
      <c r="C65" s="57"/>
      <c r="D65" s="57"/>
      <c r="E65" s="57"/>
      <c r="F65" s="57"/>
      <c r="G65" s="57"/>
      <c r="H65" s="57"/>
      <c r="I65" s="57"/>
      <c r="J65" s="57"/>
      <c r="K65" s="57"/>
      <c r="L65" s="57"/>
      <c r="M65" s="57"/>
      <c r="N65" s="57"/>
      <c r="O65" s="57"/>
      <c r="P65" s="24"/>
      <c r="Q65" s="24"/>
      <c r="R65" s="6"/>
      <c r="S65" s="6"/>
      <c r="T65" s="6"/>
      <c r="U65" s="6"/>
      <c r="V65" s="6"/>
      <c r="W65" s="6"/>
      <c r="X65" s="6"/>
      <c r="Y65" s="6"/>
      <c r="Z65" s="6"/>
      <c r="AA65" s="68"/>
      <c r="AB65" s="68"/>
      <c r="AC65" s="6"/>
      <c r="AD65" s="95"/>
      <c r="AE65" s="99"/>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row>
    <row r="66" spans="1:252" s="96" customFormat="1" ht="15" hidden="1">
      <c r="A66" s="6"/>
      <c r="B66" s="57"/>
      <c r="C66" s="57"/>
      <c r="D66" s="57"/>
      <c r="E66" s="57"/>
      <c r="F66" s="57"/>
      <c r="G66" s="57"/>
      <c r="H66" s="57"/>
      <c r="I66" s="57"/>
      <c r="J66" s="57"/>
      <c r="K66" s="57"/>
      <c r="L66" s="57"/>
      <c r="M66" s="57"/>
      <c r="N66" s="57"/>
      <c r="O66" s="57"/>
      <c r="P66" s="24"/>
      <c r="Q66" s="24"/>
      <c r="R66" s="6"/>
      <c r="S66" s="6"/>
      <c r="T66" s="6"/>
      <c r="U66" s="6"/>
      <c r="V66" s="6"/>
      <c r="W66" s="6"/>
      <c r="X66" s="6"/>
      <c r="Y66" s="6"/>
      <c r="Z66" s="6"/>
      <c r="AA66" s="68"/>
      <c r="AB66" s="68"/>
      <c r="AC66" s="6"/>
      <c r="AD66" s="95"/>
      <c r="AE66" s="99"/>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row>
    <row r="67" spans="1:252" s="96" customFormat="1" ht="15" hidden="1">
      <c r="A67" s="6"/>
      <c r="B67" s="57"/>
      <c r="C67" s="57"/>
      <c r="D67" s="57"/>
      <c r="E67" s="57"/>
      <c r="F67" s="57"/>
      <c r="G67" s="57"/>
      <c r="H67" s="57"/>
      <c r="I67" s="57"/>
      <c r="J67" s="57"/>
      <c r="K67" s="57"/>
      <c r="L67" s="57"/>
      <c r="M67" s="57"/>
      <c r="N67" s="57"/>
      <c r="O67" s="57"/>
      <c r="P67" s="24"/>
      <c r="Q67" s="24"/>
      <c r="R67" s="6"/>
      <c r="S67" s="6"/>
      <c r="T67" s="6"/>
      <c r="U67" s="6"/>
      <c r="V67" s="6"/>
      <c r="W67" s="6"/>
      <c r="X67" s="6"/>
      <c r="Y67" s="6"/>
      <c r="Z67" s="6"/>
      <c r="AA67" s="68"/>
      <c r="AB67" s="68"/>
      <c r="AC67" s="6"/>
      <c r="AD67" s="95"/>
      <c r="AE67" s="99"/>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row>
    <row r="68" spans="1:252" s="96" customFormat="1" ht="15" hidden="1">
      <c r="A68" s="6"/>
      <c r="B68" s="57"/>
      <c r="C68" s="57"/>
      <c r="D68" s="57"/>
      <c r="E68" s="57"/>
      <c r="F68" s="57"/>
      <c r="G68" s="57"/>
      <c r="H68" s="57"/>
      <c r="I68" s="57"/>
      <c r="J68" s="57"/>
      <c r="K68" s="57"/>
      <c r="L68" s="57"/>
      <c r="M68" s="57"/>
      <c r="N68" s="57"/>
      <c r="O68" s="57"/>
      <c r="P68" s="24"/>
      <c r="Q68" s="24"/>
      <c r="R68" s="6"/>
      <c r="S68" s="6"/>
      <c r="T68" s="6"/>
      <c r="U68" s="6"/>
      <c r="V68" s="6"/>
      <c r="W68" s="6"/>
      <c r="X68" s="6"/>
      <c r="Y68" s="6"/>
      <c r="Z68" s="6"/>
      <c r="AA68" s="68"/>
      <c r="AB68" s="68"/>
      <c r="AC68" s="6"/>
      <c r="AD68" s="95"/>
      <c r="AE68" s="99"/>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row>
    <row r="69" spans="1:252" s="96" customFormat="1" ht="15" hidden="1">
      <c r="A69" s="6"/>
      <c r="B69" s="57"/>
      <c r="C69" s="57"/>
      <c r="D69" s="57"/>
      <c r="E69" s="57"/>
      <c r="F69" s="57"/>
      <c r="G69" s="57"/>
      <c r="H69" s="57"/>
      <c r="I69" s="57"/>
      <c r="J69" s="57"/>
      <c r="K69" s="57"/>
      <c r="L69" s="57"/>
      <c r="M69" s="57"/>
      <c r="N69" s="57"/>
      <c r="O69" s="57"/>
      <c r="P69" s="24"/>
      <c r="Q69" s="24"/>
      <c r="R69" s="6"/>
      <c r="S69" s="6"/>
      <c r="T69" s="6"/>
      <c r="U69" s="6"/>
      <c r="V69" s="6"/>
      <c r="W69" s="6"/>
      <c r="X69" s="6"/>
      <c r="Y69" s="6"/>
      <c r="Z69" s="6"/>
      <c r="AA69" s="68"/>
      <c r="AB69" s="68"/>
      <c r="AC69" s="6"/>
      <c r="AD69" s="95"/>
      <c r="AE69" s="99"/>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row>
    <row r="70" spans="1:252" s="96" customFormat="1" ht="15" hidden="1">
      <c r="A70" s="6"/>
      <c r="B70" s="57"/>
      <c r="C70" s="57"/>
      <c r="D70" s="57"/>
      <c r="E70" s="57"/>
      <c r="F70" s="57"/>
      <c r="G70" s="57"/>
      <c r="H70" s="57"/>
      <c r="I70" s="57"/>
      <c r="J70" s="57"/>
      <c r="K70" s="57"/>
      <c r="L70" s="57"/>
      <c r="M70" s="57"/>
      <c r="N70" s="57"/>
      <c r="O70" s="57"/>
      <c r="P70" s="24"/>
      <c r="Q70" s="24"/>
      <c r="R70" s="6"/>
      <c r="S70" s="6"/>
      <c r="T70" s="6"/>
      <c r="U70" s="6"/>
      <c r="V70" s="6"/>
      <c r="W70" s="6"/>
      <c r="X70" s="6"/>
      <c r="Y70" s="6"/>
      <c r="Z70" s="6"/>
      <c r="AA70" s="68"/>
      <c r="AB70" s="68"/>
      <c r="AC70" s="6"/>
      <c r="AD70" s="95"/>
      <c r="AE70" s="99"/>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row>
    <row r="71" spans="1:252" s="96" customFormat="1" ht="15" hidden="1">
      <c r="A71" s="6"/>
      <c r="B71" s="57"/>
      <c r="C71" s="57"/>
      <c r="D71" s="57"/>
      <c r="E71" s="57"/>
      <c r="F71" s="57"/>
      <c r="G71" s="57"/>
      <c r="H71" s="57"/>
      <c r="I71" s="57"/>
      <c r="J71" s="57"/>
      <c r="K71" s="57"/>
      <c r="L71" s="57"/>
      <c r="M71" s="57"/>
      <c r="N71" s="57"/>
      <c r="O71" s="57"/>
      <c r="P71" s="24"/>
      <c r="Q71" s="24"/>
      <c r="R71" s="6"/>
      <c r="S71" s="6"/>
      <c r="T71" s="6"/>
      <c r="U71" s="6"/>
      <c r="V71" s="6"/>
      <c r="W71" s="6"/>
      <c r="X71" s="6"/>
      <c r="Y71" s="6"/>
      <c r="Z71" s="6"/>
      <c r="AA71" s="68"/>
      <c r="AB71" s="68"/>
      <c r="AC71" s="6"/>
      <c r="AD71" s="95"/>
      <c r="AE71" s="99"/>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row>
    <row r="72" spans="1:252" s="96" customFormat="1" ht="15" hidden="1">
      <c r="A72" s="6"/>
      <c r="B72" s="57"/>
      <c r="C72" s="57"/>
      <c r="D72" s="57"/>
      <c r="E72" s="57"/>
      <c r="F72" s="57"/>
      <c r="G72" s="57"/>
      <c r="H72" s="57"/>
      <c r="I72" s="57"/>
      <c r="J72" s="57"/>
      <c r="K72" s="57"/>
      <c r="L72" s="57"/>
      <c r="M72" s="57"/>
      <c r="N72" s="57"/>
      <c r="O72" s="57"/>
      <c r="P72" s="24"/>
      <c r="Q72" s="24"/>
      <c r="R72" s="6"/>
      <c r="S72" s="6"/>
      <c r="T72" s="6"/>
      <c r="U72" s="6"/>
      <c r="V72" s="6"/>
      <c r="W72" s="6"/>
      <c r="X72" s="6"/>
      <c r="Y72" s="6"/>
      <c r="Z72" s="6"/>
      <c r="AA72" s="68"/>
      <c r="AB72" s="68"/>
      <c r="AC72" s="6"/>
      <c r="AD72" s="95"/>
      <c r="AE72" s="99"/>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row>
    <row r="73" spans="1:252" s="96" customFormat="1" ht="15" hidden="1">
      <c r="A73" s="6"/>
      <c r="B73" s="57"/>
      <c r="C73" s="57"/>
      <c r="D73" s="57"/>
      <c r="E73" s="57"/>
      <c r="F73" s="57"/>
      <c r="G73" s="57"/>
      <c r="H73" s="57"/>
      <c r="I73" s="57"/>
      <c r="J73" s="57"/>
      <c r="K73" s="57"/>
      <c r="L73" s="57"/>
      <c r="M73" s="57"/>
      <c r="N73" s="57"/>
      <c r="O73" s="57"/>
      <c r="P73" s="24"/>
      <c r="Q73" s="24"/>
      <c r="R73" s="6"/>
      <c r="S73" s="6"/>
      <c r="T73" s="6"/>
      <c r="U73" s="6"/>
      <c r="V73" s="6"/>
      <c r="W73" s="6"/>
      <c r="X73" s="6"/>
      <c r="Y73" s="6"/>
      <c r="Z73" s="6"/>
      <c r="AA73" s="68"/>
      <c r="AB73" s="68"/>
      <c r="AC73" s="6"/>
      <c r="AD73" s="95"/>
      <c r="AE73" s="99"/>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c r="HR73" s="3"/>
      <c r="HS73" s="3"/>
      <c r="HT73" s="3"/>
      <c r="HU73" s="3"/>
      <c r="HV73" s="3"/>
      <c r="HW73" s="3"/>
      <c r="HX73" s="3"/>
      <c r="HY73" s="3"/>
      <c r="HZ73" s="3"/>
      <c r="IA73" s="3"/>
      <c r="IB73" s="3"/>
      <c r="IC73" s="3"/>
      <c r="ID73" s="3"/>
      <c r="IE73" s="3"/>
      <c r="IF73" s="3"/>
      <c r="IG73" s="3"/>
      <c r="IH73" s="3"/>
      <c r="II73" s="3"/>
      <c r="IJ73" s="3"/>
      <c r="IK73" s="3"/>
      <c r="IL73" s="3"/>
      <c r="IM73" s="3"/>
      <c r="IN73" s="3"/>
      <c r="IO73" s="3"/>
      <c r="IP73" s="3"/>
      <c r="IQ73" s="3"/>
      <c r="IR73" s="3"/>
    </row>
    <row r="74" spans="1:252" s="96" customFormat="1" ht="15" hidden="1">
      <c r="A74" s="6"/>
      <c r="B74" s="57"/>
      <c r="C74" s="57"/>
      <c r="D74" s="57"/>
      <c r="E74" s="57"/>
      <c r="F74" s="57"/>
      <c r="G74" s="57"/>
      <c r="H74" s="57"/>
      <c r="I74" s="57"/>
      <c r="J74" s="57"/>
      <c r="K74" s="57"/>
      <c r="L74" s="57"/>
      <c r="M74" s="57"/>
      <c r="N74" s="57"/>
      <c r="O74" s="57"/>
      <c r="P74" s="24"/>
      <c r="Q74" s="24"/>
      <c r="R74" s="6"/>
      <c r="S74" s="6"/>
      <c r="T74" s="6"/>
      <c r="U74" s="6"/>
      <c r="V74" s="6"/>
      <c r="W74" s="6"/>
      <c r="X74" s="6"/>
      <c r="Y74" s="6"/>
      <c r="Z74" s="6"/>
      <c r="AA74" s="68"/>
      <c r="AB74" s="68"/>
      <c r="AC74" s="6"/>
      <c r="AD74" s="95"/>
      <c r="AE74" s="99"/>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row>
    <row r="75" spans="1:252" s="96" customFormat="1" ht="15" hidden="1">
      <c r="A75" s="6"/>
      <c r="B75" s="57"/>
      <c r="C75" s="57"/>
      <c r="D75" s="57"/>
      <c r="E75" s="57"/>
      <c r="F75" s="57"/>
      <c r="G75" s="57"/>
      <c r="H75" s="57"/>
      <c r="I75" s="57"/>
      <c r="J75" s="57"/>
      <c r="K75" s="57"/>
      <c r="L75" s="57"/>
      <c r="M75" s="57"/>
      <c r="N75" s="57"/>
      <c r="O75" s="57"/>
      <c r="P75" s="24"/>
      <c r="Q75" s="24"/>
      <c r="R75" s="6"/>
      <c r="S75" s="6"/>
      <c r="T75" s="6"/>
      <c r="U75" s="6"/>
      <c r="V75" s="6"/>
      <c r="W75" s="6"/>
      <c r="X75" s="6"/>
      <c r="Y75" s="6"/>
      <c r="Z75" s="6"/>
      <c r="AA75" s="68"/>
      <c r="AB75" s="68"/>
      <c r="AC75" s="6"/>
      <c r="AD75" s="95"/>
      <c r="AE75" s="99"/>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row>
    <row r="76" spans="1:252" s="96" customFormat="1" ht="15" hidden="1">
      <c r="A76" s="6"/>
      <c r="B76" s="57"/>
      <c r="C76" s="57"/>
      <c r="D76" s="57"/>
      <c r="E76" s="57"/>
      <c r="F76" s="57"/>
      <c r="G76" s="57"/>
      <c r="H76" s="57"/>
      <c r="I76" s="57"/>
      <c r="J76" s="57"/>
      <c r="K76" s="57"/>
      <c r="L76" s="57"/>
      <c r="M76" s="57"/>
      <c r="N76" s="57"/>
      <c r="O76" s="57"/>
      <c r="P76" s="24"/>
      <c r="Q76" s="24"/>
      <c r="R76" s="6"/>
      <c r="S76" s="6"/>
      <c r="T76" s="6"/>
      <c r="U76" s="6"/>
      <c r="V76" s="6"/>
      <c r="W76" s="6"/>
      <c r="X76" s="6"/>
      <c r="Y76" s="6"/>
      <c r="Z76" s="6"/>
      <c r="AA76" s="68"/>
      <c r="AB76" s="68"/>
      <c r="AC76" s="6"/>
      <c r="AD76" s="95"/>
      <c r="AE76" s="99"/>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row>
    <row r="77" spans="1:252" s="96" customFormat="1" ht="15" hidden="1">
      <c r="A77" s="6"/>
      <c r="B77" s="57"/>
      <c r="C77" s="57"/>
      <c r="D77" s="57"/>
      <c r="E77" s="57"/>
      <c r="F77" s="57"/>
      <c r="G77" s="57"/>
      <c r="H77" s="57"/>
      <c r="I77" s="57"/>
      <c r="J77" s="57"/>
      <c r="K77" s="57"/>
      <c r="L77" s="57"/>
      <c r="M77" s="57"/>
      <c r="N77" s="57"/>
      <c r="O77" s="57"/>
      <c r="P77" s="24"/>
      <c r="Q77" s="24"/>
      <c r="R77" s="6"/>
      <c r="S77" s="6"/>
      <c r="T77" s="6"/>
      <c r="U77" s="6"/>
      <c r="V77" s="6"/>
      <c r="W77" s="6"/>
      <c r="X77" s="6"/>
      <c r="Y77" s="6"/>
      <c r="Z77" s="6"/>
      <c r="AA77" s="68"/>
      <c r="AB77" s="68"/>
      <c r="AC77" s="6"/>
      <c r="AD77" s="95"/>
      <c r="AE77" s="99"/>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c r="HF77" s="3"/>
      <c r="HG77" s="3"/>
      <c r="HH77" s="3"/>
      <c r="HI77" s="3"/>
      <c r="HJ77" s="3"/>
      <c r="HK77" s="3"/>
      <c r="HL77" s="3"/>
      <c r="HM77" s="3"/>
      <c r="HN77" s="3"/>
      <c r="HO77" s="3"/>
      <c r="HP77" s="3"/>
      <c r="HQ77" s="3"/>
      <c r="HR77" s="3"/>
      <c r="HS77" s="3"/>
      <c r="HT77" s="3"/>
      <c r="HU77" s="3"/>
      <c r="HV77" s="3"/>
      <c r="HW77" s="3"/>
      <c r="HX77" s="3"/>
      <c r="HY77" s="3"/>
      <c r="HZ77" s="3"/>
      <c r="IA77" s="3"/>
      <c r="IB77" s="3"/>
      <c r="IC77" s="3"/>
      <c r="ID77" s="3"/>
      <c r="IE77" s="3"/>
      <c r="IF77" s="3"/>
      <c r="IG77" s="3"/>
      <c r="IH77" s="3"/>
      <c r="II77" s="3"/>
      <c r="IJ77" s="3"/>
      <c r="IK77" s="3"/>
      <c r="IL77" s="3"/>
      <c r="IM77" s="3"/>
      <c r="IN77" s="3"/>
      <c r="IO77" s="3"/>
      <c r="IP77" s="3"/>
      <c r="IQ77" s="3"/>
      <c r="IR77" s="3"/>
    </row>
    <row r="78" spans="1:252" s="96" customFormat="1" ht="15" hidden="1">
      <c r="A78" s="6"/>
      <c r="B78" s="57"/>
      <c r="C78" s="57"/>
      <c r="D78" s="57"/>
      <c r="E78" s="57"/>
      <c r="F78" s="57"/>
      <c r="G78" s="57"/>
      <c r="H78" s="57"/>
      <c r="I78" s="57"/>
      <c r="J78" s="57"/>
      <c r="K78" s="57"/>
      <c r="L78" s="57"/>
      <c r="M78" s="57"/>
      <c r="N78" s="57"/>
      <c r="O78" s="57"/>
      <c r="P78" s="24"/>
      <c r="Q78" s="24"/>
      <c r="R78" s="6"/>
      <c r="S78" s="6"/>
      <c r="T78" s="6"/>
      <c r="U78" s="6"/>
      <c r="V78" s="6"/>
      <c r="W78" s="6"/>
      <c r="X78" s="6"/>
      <c r="Y78" s="6"/>
      <c r="Z78" s="6"/>
      <c r="AA78" s="68"/>
      <c r="AB78" s="68"/>
      <c r="AC78" s="6"/>
      <c r="AD78" s="95"/>
      <c r="AE78" s="99"/>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c r="HF78" s="3"/>
      <c r="HG78" s="3"/>
      <c r="HH78" s="3"/>
      <c r="HI78" s="3"/>
      <c r="HJ78" s="3"/>
      <c r="HK78" s="3"/>
      <c r="HL78" s="3"/>
      <c r="HM78" s="3"/>
      <c r="HN78" s="3"/>
      <c r="HO78" s="3"/>
      <c r="HP78" s="3"/>
      <c r="HQ78" s="3"/>
      <c r="HR78" s="3"/>
      <c r="HS78" s="3"/>
      <c r="HT78" s="3"/>
      <c r="HU78" s="3"/>
      <c r="HV78" s="3"/>
      <c r="HW78" s="3"/>
      <c r="HX78" s="3"/>
      <c r="HY78" s="3"/>
      <c r="HZ78" s="3"/>
      <c r="IA78" s="3"/>
      <c r="IB78" s="3"/>
      <c r="IC78" s="3"/>
      <c r="ID78" s="3"/>
      <c r="IE78" s="3"/>
      <c r="IF78" s="3"/>
      <c r="IG78" s="3"/>
      <c r="IH78" s="3"/>
      <c r="II78" s="3"/>
      <c r="IJ78" s="3"/>
      <c r="IK78" s="3"/>
      <c r="IL78" s="3"/>
      <c r="IM78" s="3"/>
      <c r="IN78" s="3"/>
      <c r="IO78" s="3"/>
      <c r="IP78" s="3"/>
      <c r="IQ78" s="3"/>
      <c r="IR78" s="3"/>
    </row>
    <row r="79" spans="1:252" s="96" customFormat="1" ht="15" hidden="1">
      <c r="A79" s="6"/>
      <c r="B79" s="57"/>
      <c r="C79" s="57"/>
      <c r="D79" s="57"/>
      <c r="E79" s="57"/>
      <c r="F79" s="57"/>
      <c r="G79" s="57"/>
      <c r="H79" s="57"/>
      <c r="I79" s="57"/>
      <c r="J79" s="57"/>
      <c r="K79" s="57"/>
      <c r="L79" s="57"/>
      <c r="M79" s="57"/>
      <c r="N79" s="57"/>
      <c r="O79" s="57"/>
      <c r="P79" s="24"/>
      <c r="Q79" s="24"/>
      <c r="R79" s="6"/>
      <c r="S79" s="6"/>
      <c r="T79" s="6"/>
      <c r="U79" s="6"/>
      <c r="V79" s="6"/>
      <c r="W79" s="6"/>
      <c r="X79" s="6"/>
      <c r="Y79" s="6"/>
      <c r="Z79" s="6"/>
      <c r="AA79" s="68"/>
      <c r="AB79" s="68"/>
      <c r="AC79" s="6"/>
      <c r="AD79" s="95"/>
      <c r="AE79" s="99"/>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c r="HF79" s="3"/>
      <c r="HG79" s="3"/>
      <c r="HH79" s="3"/>
      <c r="HI79" s="3"/>
      <c r="HJ79" s="3"/>
      <c r="HK79" s="3"/>
      <c r="HL79" s="3"/>
      <c r="HM79" s="3"/>
      <c r="HN79" s="3"/>
      <c r="HO79" s="3"/>
      <c r="HP79" s="3"/>
      <c r="HQ79" s="3"/>
      <c r="HR79" s="3"/>
      <c r="HS79" s="3"/>
      <c r="HT79" s="3"/>
      <c r="HU79" s="3"/>
      <c r="HV79" s="3"/>
      <c r="HW79" s="3"/>
      <c r="HX79" s="3"/>
      <c r="HY79" s="3"/>
      <c r="HZ79" s="3"/>
      <c r="IA79" s="3"/>
      <c r="IB79" s="3"/>
      <c r="IC79" s="3"/>
      <c r="ID79" s="3"/>
      <c r="IE79" s="3"/>
      <c r="IF79" s="3"/>
      <c r="IG79" s="3"/>
      <c r="IH79" s="3"/>
      <c r="II79" s="3"/>
      <c r="IJ79" s="3"/>
      <c r="IK79" s="3"/>
      <c r="IL79" s="3"/>
      <c r="IM79" s="3"/>
      <c r="IN79" s="3"/>
      <c r="IO79" s="3"/>
      <c r="IP79" s="3"/>
      <c r="IQ79" s="3"/>
      <c r="IR79" s="3"/>
    </row>
    <row r="80" spans="1:252" s="96" customFormat="1" ht="15" hidden="1">
      <c r="A80" s="6"/>
      <c r="B80" s="57"/>
      <c r="C80" s="57"/>
      <c r="D80" s="57"/>
      <c r="E80" s="57"/>
      <c r="F80" s="57"/>
      <c r="G80" s="57"/>
      <c r="H80" s="57"/>
      <c r="I80" s="57"/>
      <c r="J80" s="57"/>
      <c r="K80" s="57"/>
      <c r="L80" s="57"/>
      <c r="M80" s="57"/>
      <c r="N80" s="57"/>
      <c r="O80" s="57"/>
      <c r="P80" s="24"/>
      <c r="Q80" s="24"/>
      <c r="R80" s="6"/>
      <c r="S80" s="6"/>
      <c r="T80" s="6"/>
      <c r="U80" s="6"/>
      <c r="V80" s="6"/>
      <c r="W80" s="6"/>
      <c r="X80" s="6"/>
      <c r="Y80" s="6"/>
      <c r="Z80" s="6"/>
      <c r="AA80" s="68"/>
      <c r="AB80" s="68"/>
      <c r="AC80" s="6"/>
      <c r="AD80" s="95"/>
      <c r="AE80" s="99"/>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c r="HF80" s="3"/>
      <c r="HG80" s="3"/>
      <c r="HH80" s="3"/>
      <c r="HI80" s="3"/>
      <c r="HJ80" s="3"/>
      <c r="HK80" s="3"/>
      <c r="HL80" s="3"/>
      <c r="HM80" s="3"/>
      <c r="HN80" s="3"/>
      <c r="HO80" s="3"/>
      <c r="HP80" s="3"/>
      <c r="HQ80" s="3"/>
      <c r="HR80" s="3"/>
      <c r="HS80" s="3"/>
      <c r="HT80" s="3"/>
      <c r="HU80" s="3"/>
      <c r="HV80" s="3"/>
      <c r="HW80" s="3"/>
      <c r="HX80" s="3"/>
      <c r="HY80" s="3"/>
      <c r="HZ80" s="3"/>
      <c r="IA80" s="3"/>
      <c r="IB80" s="3"/>
      <c r="IC80" s="3"/>
      <c r="ID80" s="3"/>
      <c r="IE80" s="3"/>
      <c r="IF80" s="3"/>
      <c r="IG80" s="3"/>
      <c r="IH80" s="3"/>
      <c r="II80" s="3"/>
      <c r="IJ80" s="3"/>
      <c r="IK80" s="3"/>
      <c r="IL80" s="3"/>
      <c r="IM80" s="3"/>
      <c r="IN80" s="3"/>
      <c r="IO80" s="3"/>
      <c r="IP80" s="3"/>
      <c r="IQ80" s="3"/>
      <c r="IR80" s="3"/>
    </row>
  </sheetData>
  <sheetProtection password="EE1F" sheet="1" objects="1" scenarios="1" selectLockedCells="1"/>
  <protectedRanges>
    <protectedRange sqref="M7 F12 I13:M13 F16 E17 I17:M17 F22:H52 L23:P52 C22:C52" name="Eingabebereich"/>
  </protectedRanges>
  <mergeCells count="47">
    <mergeCell ref="L21:P21"/>
    <mergeCell ref="B2:H2"/>
    <mergeCell ref="I2:J2"/>
    <mergeCell ref="K2:L2"/>
    <mergeCell ref="E5:H5"/>
    <mergeCell ref="M5:O5"/>
    <mergeCell ref="E7:H7"/>
    <mergeCell ref="M7:O7"/>
    <mergeCell ref="E17:F17"/>
    <mergeCell ref="C20:E20"/>
    <mergeCell ref="F20:H20"/>
    <mergeCell ref="I20:K20"/>
    <mergeCell ref="L20:P20"/>
    <mergeCell ref="L33:P33"/>
    <mergeCell ref="L22:P22"/>
    <mergeCell ref="L23:P23"/>
    <mergeCell ref="L24:P24"/>
    <mergeCell ref="L25:P25"/>
    <mergeCell ref="L26:P26"/>
    <mergeCell ref="L27:P27"/>
    <mergeCell ref="L28:P28"/>
    <mergeCell ref="L29:P29"/>
    <mergeCell ref="L30:P30"/>
    <mergeCell ref="L31:P31"/>
    <mergeCell ref="L32:P32"/>
    <mergeCell ref="L45:P45"/>
    <mergeCell ref="L34:P34"/>
    <mergeCell ref="L35:P35"/>
    <mergeCell ref="L36:P36"/>
    <mergeCell ref="L37:P37"/>
    <mergeCell ref="L38:P38"/>
    <mergeCell ref="L39:P39"/>
    <mergeCell ref="L40:P40"/>
    <mergeCell ref="L41:P41"/>
    <mergeCell ref="L42:P42"/>
    <mergeCell ref="L43:P43"/>
    <mergeCell ref="L44:P44"/>
    <mergeCell ref="L52:P52"/>
    <mergeCell ref="K55:O55"/>
    <mergeCell ref="C60:G60"/>
    <mergeCell ref="L60:P60"/>
    <mergeCell ref="L46:P46"/>
    <mergeCell ref="L47:P47"/>
    <mergeCell ref="L48:P48"/>
    <mergeCell ref="L49:P49"/>
    <mergeCell ref="L50:P50"/>
    <mergeCell ref="L51:P51"/>
  </mergeCells>
  <conditionalFormatting sqref="C22:I52 L23:L39 L44:L52">
    <cfRule type="expression" dxfId="919" priority="243" stopIfTrue="1">
      <formula>OR(($A22="Samstag"),($A22="Sonntag"),($AA22=TRUE()))</formula>
    </cfRule>
  </conditionalFormatting>
  <conditionalFormatting sqref="B22:B52">
    <cfRule type="expression" dxfId="918" priority="119" stopIfTrue="1">
      <formula>$AA22=TRUE()</formula>
    </cfRule>
    <cfRule type="expression" dxfId="917" priority="123" stopIfTrue="1">
      <formula>OR(($A22="Samstag"),($A22="Sonntag"))</formula>
    </cfRule>
    <cfRule type="expression" dxfId="916" priority="124" stopIfTrue="1">
      <formula>AND($E$17&lt;&gt;"",$B22&gt;=$E$17)</formula>
    </cfRule>
  </conditionalFormatting>
  <conditionalFormatting sqref="F32:H32 L23:L39">
    <cfRule type="expression" dxfId="915" priority="242" stopIfTrue="1">
      <formula>OR(($A23="Samstag"),($A23="Sonntag"))</formula>
    </cfRule>
  </conditionalFormatting>
  <conditionalFormatting sqref="F32:H32">
    <cfRule type="expression" dxfId="914" priority="241" stopIfTrue="1">
      <formula>OR(($A32="Samstag"),($A32="Sonntag"))</formula>
    </cfRule>
  </conditionalFormatting>
  <conditionalFormatting sqref="F52:H52">
    <cfRule type="expression" dxfId="913" priority="230" stopIfTrue="1">
      <formula>OR(($A52="Samstag"),($A52="Sonntag"))</formula>
    </cfRule>
  </conditionalFormatting>
  <conditionalFormatting sqref="F52:H52">
    <cfRule type="expression" dxfId="912" priority="229" stopIfTrue="1">
      <formula>OR(($A52="Samstag"),($A52="Sonntag"))</formula>
    </cfRule>
  </conditionalFormatting>
  <conditionalFormatting sqref="F46:H46">
    <cfRule type="expression" dxfId="911" priority="233" stopIfTrue="1">
      <formula>OR(($A46="Samstag"),($A46="Sonntag"))</formula>
    </cfRule>
  </conditionalFormatting>
  <conditionalFormatting sqref="F32:H32">
    <cfRule type="expression" dxfId="910" priority="237" stopIfTrue="1">
      <formula>OR(($A32="Samstag"),($A32="Sonntag"))</formula>
    </cfRule>
  </conditionalFormatting>
  <conditionalFormatting sqref="F24:H25">
    <cfRule type="expression" dxfId="909" priority="240" stopIfTrue="1">
      <formula>OR(($A24="Samstag"),($A24="Sonntag"))</formula>
    </cfRule>
  </conditionalFormatting>
  <conditionalFormatting sqref="F24:H24">
    <cfRule type="expression" dxfId="908" priority="239" stopIfTrue="1">
      <formula>OR(($A24="Samstag"),($A24="Sonntag"))</formula>
    </cfRule>
  </conditionalFormatting>
  <conditionalFormatting sqref="F25:H25">
    <cfRule type="expression" dxfId="907" priority="238" stopIfTrue="1">
      <formula>OR(($A25="Samstag"),($A25="Sonntag"))</formula>
    </cfRule>
  </conditionalFormatting>
  <conditionalFormatting sqref="F39:H39">
    <cfRule type="expression" dxfId="906" priority="235" stopIfTrue="1">
      <formula>OR(($A39="Samstag"),($A39="Sonntag"))</formula>
    </cfRule>
  </conditionalFormatting>
  <conditionalFormatting sqref="F39:H39">
    <cfRule type="expression" dxfId="905" priority="236" stopIfTrue="1">
      <formula>OR(($A39="Samstag"),($A39="Sonntag"))</formula>
    </cfRule>
  </conditionalFormatting>
  <conditionalFormatting sqref="F39:H39">
    <cfRule type="expression" dxfId="904" priority="234" stopIfTrue="1">
      <formula>OR(($A39="Samstag"),($A39="Sonntag"))</formula>
    </cfRule>
  </conditionalFormatting>
  <conditionalFormatting sqref="F46:H46">
    <cfRule type="expression" dxfId="903" priority="232" stopIfTrue="1">
      <formula>OR(($A46="Samstag"),($A46="Sonntag"))</formula>
    </cfRule>
  </conditionalFormatting>
  <conditionalFormatting sqref="F46:H46">
    <cfRule type="expression" dxfId="902" priority="231" stopIfTrue="1">
      <formula>OR(($A46="Samstag"),($A46="Sonntag"))</formula>
    </cfRule>
  </conditionalFormatting>
  <conditionalFormatting sqref="F22:H52">
    <cfRule type="expression" dxfId="901" priority="228" stopIfTrue="1">
      <formula>OR(($A22="Samstag"),($A22="Sonntag"))</formula>
    </cfRule>
  </conditionalFormatting>
  <conditionalFormatting sqref="F22:H52">
    <cfRule type="expression" dxfId="900" priority="227" stopIfTrue="1">
      <formula>OR(($A22="Samstag"),($A22="Sonntag"))</formula>
    </cfRule>
  </conditionalFormatting>
  <conditionalFormatting sqref="G23">
    <cfRule type="expression" dxfId="899" priority="226" stopIfTrue="1">
      <formula>OR(($A23="Samstag"),($A23="Sonntag"))</formula>
    </cfRule>
  </conditionalFormatting>
  <conditionalFormatting sqref="G23">
    <cfRule type="expression" dxfId="898" priority="225" stopIfTrue="1">
      <formula>OR(($A23="Samstag"),($A23="Sonntag"))</formula>
    </cfRule>
  </conditionalFormatting>
  <conditionalFormatting sqref="F31:H31">
    <cfRule type="expression" dxfId="897" priority="224" stopIfTrue="1">
      <formula>OR(($A31="Samstag"),($A31="Sonntag"))</formula>
    </cfRule>
  </conditionalFormatting>
  <conditionalFormatting sqref="F31:H31">
    <cfRule type="expression" dxfId="896" priority="223" stopIfTrue="1">
      <formula>OR(($A31="Samstag"),($A31="Sonntag"))</formula>
    </cfRule>
  </conditionalFormatting>
  <conditionalFormatting sqref="F38:H38">
    <cfRule type="expression" dxfId="895" priority="222" stopIfTrue="1">
      <formula>OR(($A38="Samstag"),($A38="Sonntag"))</formula>
    </cfRule>
  </conditionalFormatting>
  <conditionalFormatting sqref="F38:H38">
    <cfRule type="expression" dxfId="894" priority="221" stopIfTrue="1">
      <formula>OR(($A38="Samstag"),($A38="Sonntag"))</formula>
    </cfRule>
  </conditionalFormatting>
  <conditionalFormatting sqref="F45:H45">
    <cfRule type="expression" dxfId="893" priority="220" stopIfTrue="1">
      <formula>OR(($A45="Samstag"),($A45="Sonntag"))</formula>
    </cfRule>
  </conditionalFormatting>
  <conditionalFormatting sqref="F45:H45">
    <cfRule type="expression" dxfId="892" priority="219" stopIfTrue="1">
      <formula>OR(($A45="Samstag"),($A45="Sonntag"))</formula>
    </cfRule>
  </conditionalFormatting>
  <conditionalFormatting sqref="G26:G30">
    <cfRule type="expression" dxfId="891" priority="218" stopIfTrue="1">
      <formula>OR(($A26="Samstag"),($A26="Sonntag"))</formula>
    </cfRule>
  </conditionalFormatting>
  <conditionalFormatting sqref="G26:G30">
    <cfRule type="expression" dxfId="890" priority="217" stopIfTrue="1">
      <formula>OR(($A26="Samstag"),($A26="Sonntag"))</formula>
    </cfRule>
  </conditionalFormatting>
  <conditionalFormatting sqref="G33:G37">
    <cfRule type="expression" dxfId="889" priority="216" stopIfTrue="1">
      <formula>OR(($A33="Samstag"),($A33="Sonntag"))</formula>
    </cfRule>
  </conditionalFormatting>
  <conditionalFormatting sqref="G33:G37">
    <cfRule type="expression" dxfId="888" priority="215" stopIfTrue="1">
      <formula>OR(($A33="Samstag"),($A33="Sonntag"))</formula>
    </cfRule>
  </conditionalFormatting>
  <conditionalFormatting sqref="G40:G44">
    <cfRule type="expression" dxfId="887" priority="214" stopIfTrue="1">
      <formula>OR(($A40="Samstag"),($A40="Sonntag"))</formula>
    </cfRule>
  </conditionalFormatting>
  <conditionalFormatting sqref="G40:G44">
    <cfRule type="expression" dxfId="886" priority="213" stopIfTrue="1">
      <formula>OR(($A40="Samstag"),($A40="Sonntag"))</formula>
    </cfRule>
  </conditionalFormatting>
  <conditionalFormatting sqref="G47:G51">
    <cfRule type="expression" dxfId="885" priority="212" stopIfTrue="1">
      <formula>OR(($A47="Samstag"),($A47="Sonntag"))</formula>
    </cfRule>
  </conditionalFormatting>
  <conditionalFormatting sqref="G47:G51">
    <cfRule type="expression" dxfId="884" priority="211" stopIfTrue="1">
      <formula>OR(($A47="Samstag"),($A47="Sonntag"))</formula>
    </cfRule>
  </conditionalFormatting>
  <conditionalFormatting sqref="F23:H23">
    <cfRule type="expression" dxfId="883" priority="210" stopIfTrue="1">
      <formula>OR(($A23="Samstag"),($A23="Sonntag"))</formula>
    </cfRule>
  </conditionalFormatting>
  <conditionalFormatting sqref="F23:H23">
    <cfRule type="expression" dxfId="882" priority="209" stopIfTrue="1">
      <formula>OR(($A23="Samstag"),($A23="Sonntag"))</formula>
    </cfRule>
  </conditionalFormatting>
  <conditionalFormatting sqref="F26:H30">
    <cfRule type="expression" dxfId="881" priority="208" stopIfTrue="1">
      <formula>OR(($A26="Samstag"),($A26="Sonntag"))</formula>
    </cfRule>
  </conditionalFormatting>
  <conditionalFormatting sqref="F26:H30">
    <cfRule type="expression" dxfId="880" priority="207" stopIfTrue="1">
      <formula>OR(($A26="Samstag"),($A26="Sonntag"))</formula>
    </cfRule>
  </conditionalFormatting>
  <conditionalFormatting sqref="F33:H37">
    <cfRule type="expression" dxfId="879" priority="206" stopIfTrue="1">
      <formula>OR(($A33="Samstag"),($A33="Sonntag"))</formula>
    </cfRule>
  </conditionalFormatting>
  <conditionalFormatting sqref="F33:H37">
    <cfRule type="expression" dxfId="878" priority="205" stopIfTrue="1">
      <formula>OR(($A33="Samstag"),($A33="Sonntag"))</formula>
    </cfRule>
  </conditionalFormatting>
  <conditionalFormatting sqref="F40:H44">
    <cfRule type="expression" dxfId="877" priority="204" stopIfTrue="1">
      <formula>OR(($A40="Samstag"),($A40="Sonntag"))</formula>
    </cfRule>
  </conditionalFormatting>
  <conditionalFormatting sqref="F40:H44">
    <cfRule type="expression" dxfId="876" priority="203" stopIfTrue="1">
      <formula>OR(($A40="Samstag"),($A40="Sonntag"))</formula>
    </cfRule>
  </conditionalFormatting>
  <conditionalFormatting sqref="H40:H44">
    <cfRule type="expression" dxfId="875" priority="194" stopIfTrue="1">
      <formula>OR(($A40="Samstag"),($A40="Sonntag"))</formula>
    </cfRule>
  </conditionalFormatting>
  <conditionalFormatting sqref="H40:H44">
    <cfRule type="expression" dxfId="874" priority="193" stopIfTrue="1">
      <formula>OR(($A40="Samstag"),($A40="Sonntag"))</formula>
    </cfRule>
  </conditionalFormatting>
  <conditionalFormatting sqref="F47:H51">
    <cfRule type="expression" dxfId="873" priority="202" stopIfTrue="1">
      <formula>OR(($A47="Samstag"),($A47="Sonntag"))</formula>
    </cfRule>
  </conditionalFormatting>
  <conditionalFormatting sqref="F47:H51">
    <cfRule type="expression" dxfId="872" priority="201" stopIfTrue="1">
      <formula>OR(($A47="Samstag"),($A47="Sonntag"))</formula>
    </cfRule>
  </conditionalFormatting>
  <conditionalFormatting sqref="H23">
    <cfRule type="expression" dxfId="871" priority="200" stopIfTrue="1">
      <formula>OR(($A23="Samstag"),($A23="Sonntag"))</formula>
    </cfRule>
  </conditionalFormatting>
  <conditionalFormatting sqref="H23">
    <cfRule type="expression" dxfId="870" priority="199" stopIfTrue="1">
      <formula>OR(($A23="Samstag"),($A23="Sonntag"))</formula>
    </cfRule>
  </conditionalFormatting>
  <conditionalFormatting sqref="H26:H30">
    <cfRule type="expression" dxfId="869" priority="198" stopIfTrue="1">
      <formula>OR(($A26="Samstag"),($A26="Sonntag"))</formula>
    </cfRule>
  </conditionalFormatting>
  <conditionalFormatting sqref="H26:H30">
    <cfRule type="expression" dxfId="868" priority="197" stopIfTrue="1">
      <formula>OR(($A26="Samstag"),($A26="Sonntag"))</formula>
    </cfRule>
  </conditionalFormatting>
  <conditionalFormatting sqref="H33:H37">
    <cfRule type="expression" dxfId="867" priority="196" stopIfTrue="1">
      <formula>OR(($A33="Samstag"),($A33="Sonntag"))</formula>
    </cfRule>
  </conditionalFormatting>
  <conditionalFormatting sqref="H33:H37">
    <cfRule type="expression" dxfId="866" priority="195" stopIfTrue="1">
      <formula>OR(($A33="Samstag"),($A33="Sonntag"))</formula>
    </cfRule>
  </conditionalFormatting>
  <conditionalFormatting sqref="H47:H51">
    <cfRule type="expression" dxfId="865" priority="192" stopIfTrue="1">
      <formula>OR(($A47="Samstag"),($A47="Sonntag"))</formula>
    </cfRule>
  </conditionalFormatting>
  <conditionalFormatting sqref="H47:H51">
    <cfRule type="expression" dxfId="864" priority="191" stopIfTrue="1">
      <formula>OR(($A47="Samstag"),($A47="Sonntag"))</formula>
    </cfRule>
  </conditionalFormatting>
  <conditionalFormatting sqref="I22:I52">
    <cfRule type="expression" dxfId="863" priority="176" stopIfTrue="1">
      <formula>OR(($A22="Samstag"),($A22="Sonntag"))</formula>
    </cfRule>
  </conditionalFormatting>
  <conditionalFormatting sqref="I22:I52">
    <cfRule type="expression" dxfId="862" priority="175" stopIfTrue="1">
      <formula>OR(($A22="Samstag"),($A22="Sonntag"))</formula>
    </cfRule>
  </conditionalFormatting>
  <conditionalFormatting sqref="N13 N17">
    <cfRule type="cellIs" dxfId="861" priority="125" stopIfTrue="1" operator="equal">
      <formula>0</formula>
    </cfRule>
  </conditionalFormatting>
  <conditionalFormatting sqref="N13">
    <cfRule type="cellIs" dxfId="860" priority="245" stopIfTrue="1" operator="equal">
      <formula>$F$12</formula>
    </cfRule>
    <cfRule type="cellIs" dxfId="859" priority="246" stopIfTrue="1" operator="notEqual">
      <formula>$F$12</formula>
    </cfRule>
  </conditionalFormatting>
  <conditionalFormatting sqref="N17">
    <cfRule type="cellIs" dxfId="858" priority="126" stopIfTrue="1" operator="notEqual">
      <formula>$F$16</formula>
    </cfRule>
    <cfRule type="cellIs" dxfId="857" priority="244" stopIfTrue="1" operator="equal">
      <formula>$F$16</formula>
    </cfRule>
  </conditionalFormatting>
  <conditionalFormatting sqref="I23:I52">
    <cfRule type="expression" dxfId="856" priority="122" stopIfTrue="1">
      <formula>OR(($A23="Samstag"),($A23="Sonntag"))</formula>
    </cfRule>
  </conditionalFormatting>
  <conditionalFormatting sqref="I23:I52">
    <cfRule type="expression" dxfId="855" priority="121" stopIfTrue="1">
      <formula>OR(($A23="Samstag"),($A23="Sonntag"))</formula>
    </cfRule>
  </conditionalFormatting>
  <conditionalFormatting sqref="K55:N55">
    <cfRule type="expression" dxfId="854" priority="120" stopIfTrue="1">
      <formula>OR(($A55="Samstag"),($A55="Sonntag"))</formula>
    </cfRule>
  </conditionalFormatting>
  <conditionalFormatting sqref="G32">
    <cfRule type="expression" dxfId="853" priority="118" stopIfTrue="1">
      <formula>OR(($A32="Samstag"),($A32="Sonntag"))</formula>
    </cfRule>
  </conditionalFormatting>
  <conditionalFormatting sqref="G32">
    <cfRule type="expression" dxfId="852" priority="117" stopIfTrue="1">
      <formula>OR(($A32="Samstag"),($A32="Sonntag"))</formula>
    </cfRule>
  </conditionalFormatting>
  <conditionalFormatting sqref="G52">
    <cfRule type="expression" dxfId="851" priority="106" stopIfTrue="1">
      <formula>OR(($A52="Samstag"),($A52="Sonntag"))</formula>
    </cfRule>
  </conditionalFormatting>
  <conditionalFormatting sqref="G52">
    <cfRule type="expression" dxfId="850" priority="105" stopIfTrue="1">
      <formula>OR(($A52="Samstag"),($A52="Sonntag"))</formula>
    </cfRule>
  </conditionalFormatting>
  <conditionalFormatting sqref="G46">
    <cfRule type="expression" dxfId="849" priority="109" stopIfTrue="1">
      <formula>OR(($A46="Samstag"),($A46="Sonntag"))</formula>
    </cfRule>
  </conditionalFormatting>
  <conditionalFormatting sqref="G32">
    <cfRule type="expression" dxfId="848" priority="113" stopIfTrue="1">
      <formula>OR(($A32="Samstag"),($A32="Sonntag"))</formula>
    </cfRule>
  </conditionalFormatting>
  <conditionalFormatting sqref="G24:G25">
    <cfRule type="expression" dxfId="847" priority="116" stopIfTrue="1">
      <formula>OR(($A24="Samstag"),($A24="Sonntag"))</formula>
    </cfRule>
  </conditionalFormatting>
  <conditionalFormatting sqref="G24">
    <cfRule type="expression" dxfId="846" priority="115" stopIfTrue="1">
      <formula>OR(($A24="Samstag"),($A24="Sonntag"))</formula>
    </cfRule>
  </conditionalFormatting>
  <conditionalFormatting sqref="G25">
    <cfRule type="expression" dxfId="845" priority="114" stopIfTrue="1">
      <formula>OR(($A25="Samstag"),($A25="Sonntag"))</formula>
    </cfRule>
  </conditionalFormatting>
  <conditionalFormatting sqref="G39">
    <cfRule type="expression" dxfId="844" priority="111" stopIfTrue="1">
      <formula>OR(($A39="Samstag"),($A39="Sonntag"))</formula>
    </cfRule>
  </conditionalFormatting>
  <conditionalFormatting sqref="G39">
    <cfRule type="expression" dxfId="843" priority="112" stopIfTrue="1">
      <formula>OR(($A39="Samstag"),($A39="Sonntag"))</formula>
    </cfRule>
  </conditionalFormatting>
  <conditionalFormatting sqref="G39">
    <cfRule type="expression" dxfId="842" priority="110" stopIfTrue="1">
      <formula>OR(($A39="Samstag"),($A39="Sonntag"))</formula>
    </cfRule>
  </conditionalFormatting>
  <conditionalFormatting sqref="G46">
    <cfRule type="expression" dxfId="841" priority="108" stopIfTrue="1">
      <formula>OR(($A46="Samstag"),($A46="Sonntag"))</formula>
    </cfRule>
  </conditionalFormatting>
  <conditionalFormatting sqref="G46">
    <cfRule type="expression" dxfId="840" priority="107" stopIfTrue="1">
      <formula>OR(($A46="Samstag"),($A46="Sonntag"))</formula>
    </cfRule>
  </conditionalFormatting>
  <conditionalFormatting sqref="F22:H52">
    <cfRule type="expression" dxfId="839" priority="104" stopIfTrue="1">
      <formula>OR(($A22="Samstag"),($A22="Sonntag"))</formula>
    </cfRule>
  </conditionalFormatting>
  <conditionalFormatting sqref="F22:H52">
    <cfRule type="expression" dxfId="838" priority="103" stopIfTrue="1">
      <formula>OR(($A22="Samstag"),($A22="Sonntag"))</formula>
    </cfRule>
  </conditionalFormatting>
  <conditionalFormatting sqref="G31">
    <cfRule type="expression" dxfId="837" priority="102" stopIfTrue="1">
      <formula>OR(($A31="Samstag"),($A31="Sonntag"))</formula>
    </cfRule>
  </conditionalFormatting>
  <conditionalFormatting sqref="G31">
    <cfRule type="expression" dxfId="836" priority="101" stopIfTrue="1">
      <formula>OR(($A31="Samstag"),($A31="Sonntag"))</formula>
    </cfRule>
  </conditionalFormatting>
  <conditionalFormatting sqref="G38">
    <cfRule type="expression" dxfId="835" priority="100" stopIfTrue="1">
      <formula>OR(($A38="Samstag"),($A38="Sonntag"))</formula>
    </cfRule>
  </conditionalFormatting>
  <conditionalFormatting sqref="G38">
    <cfRule type="expression" dxfId="834" priority="99" stopIfTrue="1">
      <formula>OR(($A38="Samstag"),($A38="Sonntag"))</formula>
    </cfRule>
  </conditionalFormatting>
  <conditionalFormatting sqref="G45">
    <cfRule type="expression" dxfId="833" priority="98" stopIfTrue="1">
      <formula>OR(($A45="Samstag"),($A45="Sonntag"))</formula>
    </cfRule>
  </conditionalFormatting>
  <conditionalFormatting sqref="G45">
    <cfRule type="expression" dxfId="832" priority="97" stopIfTrue="1">
      <formula>OR(($A45="Samstag"),($A45="Sonntag"))</formula>
    </cfRule>
  </conditionalFormatting>
  <conditionalFormatting sqref="G40:G44">
    <cfRule type="expression" dxfId="831" priority="90" stopIfTrue="1">
      <formula>OR(($A40="Samstag"),($A40="Sonntag"))</formula>
    </cfRule>
  </conditionalFormatting>
  <conditionalFormatting sqref="G40:G44">
    <cfRule type="expression" dxfId="830" priority="89" stopIfTrue="1">
      <formula>OR(($A40="Samstag"),($A40="Sonntag"))</formula>
    </cfRule>
  </conditionalFormatting>
  <conditionalFormatting sqref="G23">
    <cfRule type="expression" dxfId="829" priority="96" stopIfTrue="1">
      <formula>OR(($A23="Samstag"),($A23="Sonntag"))</formula>
    </cfRule>
  </conditionalFormatting>
  <conditionalFormatting sqref="G23">
    <cfRule type="expression" dxfId="828" priority="95" stopIfTrue="1">
      <formula>OR(($A23="Samstag"),($A23="Sonntag"))</formula>
    </cfRule>
  </conditionalFormatting>
  <conditionalFormatting sqref="G26:G30">
    <cfRule type="expression" dxfId="827" priority="94" stopIfTrue="1">
      <formula>OR(($A26="Samstag"),($A26="Sonntag"))</formula>
    </cfRule>
  </conditionalFormatting>
  <conditionalFormatting sqref="G26:G30">
    <cfRule type="expression" dxfId="826" priority="93" stopIfTrue="1">
      <formula>OR(($A26="Samstag"),($A26="Sonntag"))</formula>
    </cfRule>
  </conditionalFormatting>
  <conditionalFormatting sqref="G33:G37">
    <cfRule type="expression" dxfId="825" priority="92" stopIfTrue="1">
      <formula>OR(($A33="Samstag"),($A33="Sonntag"))</formula>
    </cfRule>
  </conditionalFormatting>
  <conditionalFormatting sqref="G33:G37">
    <cfRule type="expression" dxfId="824" priority="91" stopIfTrue="1">
      <formula>OR(($A33="Samstag"),($A33="Sonntag"))</formula>
    </cfRule>
  </conditionalFormatting>
  <conditionalFormatting sqref="G47:G51">
    <cfRule type="expression" dxfId="823" priority="88" stopIfTrue="1">
      <formula>OR(($A47="Samstag"),($A47="Sonntag"))</formula>
    </cfRule>
  </conditionalFormatting>
  <conditionalFormatting sqref="G47:G51">
    <cfRule type="expression" dxfId="822" priority="87" stopIfTrue="1">
      <formula>OR(($A47="Samstag"),($A47="Sonntag"))</formula>
    </cfRule>
  </conditionalFormatting>
  <conditionalFormatting sqref="H32">
    <cfRule type="expression" dxfId="821" priority="86" stopIfTrue="1">
      <formula>OR(($A32="Samstag"),($A32="Sonntag"))</formula>
    </cfRule>
  </conditionalFormatting>
  <conditionalFormatting sqref="H32">
    <cfRule type="expression" dxfId="820" priority="85" stopIfTrue="1">
      <formula>OR(($A32="Samstag"),($A32="Sonntag"))</formula>
    </cfRule>
  </conditionalFormatting>
  <conditionalFormatting sqref="H52">
    <cfRule type="expression" dxfId="819" priority="74" stopIfTrue="1">
      <formula>OR(($A52="Samstag"),($A52="Sonntag"))</formula>
    </cfRule>
  </conditionalFormatting>
  <conditionalFormatting sqref="H52">
    <cfRule type="expression" dxfId="818" priority="73" stopIfTrue="1">
      <formula>OR(($A52="Samstag"),($A52="Sonntag"))</formula>
    </cfRule>
  </conditionalFormatting>
  <conditionalFormatting sqref="H46">
    <cfRule type="expression" dxfId="817" priority="77" stopIfTrue="1">
      <formula>OR(($A46="Samstag"),($A46="Sonntag"))</formula>
    </cfRule>
  </conditionalFormatting>
  <conditionalFormatting sqref="H32">
    <cfRule type="expression" dxfId="816" priority="81" stopIfTrue="1">
      <formula>OR(($A32="Samstag"),($A32="Sonntag"))</formula>
    </cfRule>
  </conditionalFormatting>
  <conditionalFormatting sqref="H24:H25">
    <cfRule type="expression" dxfId="815" priority="84" stopIfTrue="1">
      <formula>OR(($A24="Samstag"),($A24="Sonntag"))</formula>
    </cfRule>
  </conditionalFormatting>
  <conditionalFormatting sqref="H24">
    <cfRule type="expression" dxfId="814" priority="83" stopIfTrue="1">
      <formula>OR(($A24="Samstag"),($A24="Sonntag"))</formula>
    </cfRule>
  </conditionalFormatting>
  <conditionalFormatting sqref="H25">
    <cfRule type="expression" dxfId="813" priority="82" stopIfTrue="1">
      <formula>OR(($A25="Samstag"),($A25="Sonntag"))</formula>
    </cfRule>
  </conditionalFormatting>
  <conditionalFormatting sqref="H39">
    <cfRule type="expression" dxfId="812" priority="79" stopIfTrue="1">
      <formula>OR(($A39="Samstag"),($A39="Sonntag"))</formula>
    </cfRule>
  </conditionalFormatting>
  <conditionalFormatting sqref="H39">
    <cfRule type="expression" dxfId="811" priority="80" stopIfTrue="1">
      <formula>OR(($A39="Samstag"),($A39="Sonntag"))</formula>
    </cfRule>
  </conditionalFormatting>
  <conditionalFormatting sqref="H39">
    <cfRule type="expression" dxfId="810" priority="78" stopIfTrue="1">
      <formula>OR(($A39="Samstag"),($A39="Sonntag"))</formula>
    </cfRule>
  </conditionalFormatting>
  <conditionalFormatting sqref="H46">
    <cfRule type="expression" dxfId="809" priority="76" stopIfTrue="1">
      <formula>OR(($A46="Samstag"),($A46="Sonntag"))</formula>
    </cfRule>
  </conditionalFormatting>
  <conditionalFormatting sqref="H46">
    <cfRule type="expression" dxfId="808" priority="75" stopIfTrue="1">
      <formula>OR(($A46="Samstag"),($A46="Sonntag"))</formula>
    </cfRule>
  </conditionalFormatting>
  <conditionalFormatting sqref="H22:H52">
    <cfRule type="expression" dxfId="807" priority="72" stopIfTrue="1">
      <formula>OR(($A22="Samstag"),($A22="Sonntag"))</formula>
    </cfRule>
  </conditionalFormatting>
  <conditionalFormatting sqref="H22:H52">
    <cfRule type="expression" dxfId="806" priority="71" stopIfTrue="1">
      <formula>OR(($A22="Samstag"),($A22="Sonntag"))</formula>
    </cfRule>
  </conditionalFormatting>
  <conditionalFormatting sqref="H31">
    <cfRule type="expression" dxfId="805" priority="70" stopIfTrue="1">
      <formula>OR(($A31="Samstag"),($A31="Sonntag"))</formula>
    </cfRule>
  </conditionalFormatting>
  <conditionalFormatting sqref="H31">
    <cfRule type="expression" dxfId="804" priority="69" stopIfTrue="1">
      <formula>OR(($A31="Samstag"),($A31="Sonntag"))</formula>
    </cfRule>
  </conditionalFormatting>
  <conditionalFormatting sqref="H38">
    <cfRule type="expression" dxfId="803" priority="68" stopIfTrue="1">
      <formula>OR(($A38="Samstag"),($A38="Sonntag"))</formula>
    </cfRule>
  </conditionalFormatting>
  <conditionalFormatting sqref="H38">
    <cfRule type="expression" dxfId="802" priority="67" stopIfTrue="1">
      <formula>OR(($A38="Samstag"),($A38="Sonntag"))</formula>
    </cfRule>
  </conditionalFormatting>
  <conditionalFormatting sqref="H45">
    <cfRule type="expression" dxfId="801" priority="66" stopIfTrue="1">
      <formula>OR(($A45="Samstag"),($A45="Sonntag"))</formula>
    </cfRule>
  </conditionalFormatting>
  <conditionalFormatting sqref="H45">
    <cfRule type="expression" dxfId="800" priority="65" stopIfTrue="1">
      <formula>OR(($A45="Samstag"),($A45="Sonntag"))</formula>
    </cfRule>
  </conditionalFormatting>
  <conditionalFormatting sqref="H40:H44">
    <cfRule type="expression" dxfId="799" priority="58" stopIfTrue="1">
      <formula>OR(($A40="Samstag"),($A40="Sonntag"))</formula>
    </cfRule>
  </conditionalFormatting>
  <conditionalFormatting sqref="H40:H44">
    <cfRule type="expression" dxfId="798" priority="57" stopIfTrue="1">
      <formula>OR(($A40="Samstag"),($A40="Sonntag"))</formula>
    </cfRule>
  </conditionalFormatting>
  <conditionalFormatting sqref="H23">
    <cfRule type="expression" dxfId="797" priority="64" stopIfTrue="1">
      <formula>OR(($A23="Samstag"),($A23="Sonntag"))</formula>
    </cfRule>
  </conditionalFormatting>
  <conditionalFormatting sqref="H23">
    <cfRule type="expression" dxfId="796" priority="63" stopIfTrue="1">
      <formula>OR(($A23="Samstag"),($A23="Sonntag"))</formula>
    </cfRule>
  </conditionalFormatting>
  <conditionalFormatting sqref="H26:H30">
    <cfRule type="expression" dxfId="795" priority="62" stopIfTrue="1">
      <formula>OR(($A26="Samstag"),($A26="Sonntag"))</formula>
    </cfRule>
  </conditionalFormatting>
  <conditionalFormatting sqref="H26:H30">
    <cfRule type="expression" dxfId="794" priority="61" stopIfTrue="1">
      <formula>OR(($A26="Samstag"),($A26="Sonntag"))</formula>
    </cfRule>
  </conditionalFormatting>
  <conditionalFormatting sqref="H33:H37">
    <cfRule type="expression" dxfId="793" priority="60" stopIfTrue="1">
      <formula>OR(($A33="Samstag"),($A33="Sonntag"))</formula>
    </cfRule>
  </conditionalFormatting>
  <conditionalFormatting sqref="H33:H37">
    <cfRule type="expression" dxfId="792" priority="59" stopIfTrue="1">
      <formula>OR(($A33="Samstag"),($A33="Sonntag"))</formula>
    </cfRule>
  </conditionalFormatting>
  <conditionalFormatting sqref="H47:H51">
    <cfRule type="expression" dxfId="791" priority="56" stopIfTrue="1">
      <formula>OR(($A47="Samstag"),($A47="Sonntag"))</formula>
    </cfRule>
  </conditionalFormatting>
  <conditionalFormatting sqref="H47:H51">
    <cfRule type="expression" dxfId="790" priority="55" stopIfTrue="1">
      <formula>OR(($A47="Samstag"),($A47="Sonntag"))</formula>
    </cfRule>
  </conditionalFormatting>
  <conditionalFormatting sqref="F23:H52">
    <cfRule type="expression" dxfId="789" priority="54" stopIfTrue="1">
      <formula>OR(($A23="Samstag"),($A23="Sonntag"))</formula>
    </cfRule>
  </conditionalFormatting>
  <conditionalFormatting sqref="F23:H52">
    <cfRule type="expression" dxfId="788" priority="53" stopIfTrue="1">
      <formula>OR(($A23="Samstag"),($A23="Sonntag"))</formula>
    </cfRule>
  </conditionalFormatting>
  <conditionalFormatting sqref="I22:I52">
    <cfRule type="expression" dxfId="787" priority="38">
      <formula>(I22&gt;10)</formula>
    </cfRule>
    <cfRule type="expression" dxfId="786" priority="49" stopIfTrue="1">
      <formula>OR(($A22="Samstag"),($A22="Sonntag"))</formula>
    </cfRule>
    <cfRule type="expression" dxfId="785" priority="50" stopIfTrue="1">
      <formula>OR(($A22="Samstag"),($A22="Sonntag"))</formula>
    </cfRule>
    <cfRule type="expression" dxfId="784" priority="52" stopIfTrue="1">
      <formula>OR(($A22="Samstag"),($A22="Sonntag"))</formula>
    </cfRule>
  </conditionalFormatting>
  <conditionalFormatting sqref="I22:I52">
    <cfRule type="expression" dxfId="783" priority="51" stopIfTrue="1">
      <formula>OR(($A22="Samstag"),($A22="Sonntag"))</formula>
    </cfRule>
  </conditionalFormatting>
  <conditionalFormatting sqref="K56:P59">
    <cfRule type="expression" dxfId="782" priority="48">
      <formula>OR(ISERROR($K$55),($K$55&gt;""))</formula>
    </cfRule>
  </conditionalFormatting>
  <conditionalFormatting sqref="L44:L52">
    <cfRule type="expression" dxfId="781" priority="44" stopIfTrue="1">
      <formula>OR(($A44="Samstag"),($A44="Sonntag"))</formula>
    </cfRule>
  </conditionalFormatting>
  <conditionalFormatting sqref="L44:L52">
    <cfRule type="expression" dxfId="780" priority="47" stopIfTrue="1">
      <formula>OR(($A44="Samstag"),($A44="Sonntag"))</formula>
    </cfRule>
  </conditionalFormatting>
  <conditionalFormatting sqref="L44:L52">
    <cfRule type="expression" dxfId="779" priority="46" stopIfTrue="1">
      <formula>OR(($A44="Samstag"),($A44="Sonntag"))</formula>
    </cfRule>
  </conditionalFormatting>
  <conditionalFormatting sqref="L44:L52">
    <cfRule type="expression" dxfId="778" priority="45" stopIfTrue="1">
      <formula>OR(($A44="Samstag"),($A44="Sonntag"))</formula>
    </cfRule>
  </conditionalFormatting>
  <conditionalFormatting sqref="L22">
    <cfRule type="expression" dxfId="777" priority="43" stopIfTrue="1">
      <formula>OR(($A22="Samstag"),($A22="Sonntag"),($AA22=TRUE()))</formula>
    </cfRule>
  </conditionalFormatting>
  <conditionalFormatting sqref="L22">
    <cfRule type="expression" dxfId="776" priority="42" stopIfTrue="1">
      <formula>OR(($A22="Samstag"),($A22="Sonntag"))</formula>
    </cfRule>
  </conditionalFormatting>
  <conditionalFormatting sqref="L40:L43">
    <cfRule type="expression" dxfId="775" priority="41" stopIfTrue="1">
      <formula>OR(($A40="Samstag"),($A40="Sonntag"),($AA40=TRUE()))</formula>
    </cfRule>
  </conditionalFormatting>
  <conditionalFormatting sqref="L40:L43">
    <cfRule type="expression" dxfId="774" priority="40" stopIfTrue="1">
      <formula>OR(($A40="Samstag"),($A40="Sonntag"))</formula>
    </cfRule>
  </conditionalFormatting>
  <conditionalFormatting sqref="G22:G52">
    <cfRule type="expression" dxfId="773" priority="39">
      <formula>OR(AND(I22&gt;6,G22&lt;TIME(0,30,0)),AND(I22&gt;9,G22&lt;TIME(0,45,0)))</formula>
    </cfRule>
  </conditionalFormatting>
  <conditionalFormatting sqref="J22:K52">
    <cfRule type="expression" dxfId="772" priority="37" stopIfTrue="1">
      <formula>OR(($A22="Samstag"),($A22="Sonntag"),($AA22=TRUE()))</formula>
    </cfRule>
  </conditionalFormatting>
  <conditionalFormatting sqref="J22:J52">
    <cfRule type="expression" dxfId="771" priority="36" stopIfTrue="1">
      <formula>OR(($A22="Samstag"),($A22="Sonntag"))</formula>
    </cfRule>
  </conditionalFormatting>
  <conditionalFormatting sqref="J22:J52">
    <cfRule type="expression" dxfId="770" priority="35" stopIfTrue="1">
      <formula>OR(($A22="Samstag"),($A22="Sonntag"))</formula>
    </cfRule>
  </conditionalFormatting>
  <conditionalFormatting sqref="K32">
    <cfRule type="expression" dxfId="769" priority="34" stopIfTrue="1">
      <formula>OR(($A32="Samstag"),($A32="Sonntag"))</formula>
    </cfRule>
  </conditionalFormatting>
  <conditionalFormatting sqref="K32">
    <cfRule type="expression" dxfId="768" priority="33" stopIfTrue="1">
      <formula>OR(($A32="Samstag"),($A32="Sonntag"))</formula>
    </cfRule>
  </conditionalFormatting>
  <conditionalFormatting sqref="K52">
    <cfRule type="expression" dxfId="767" priority="22" stopIfTrue="1">
      <formula>OR(($A52="Samstag"),($A52="Sonntag"))</formula>
    </cfRule>
  </conditionalFormatting>
  <conditionalFormatting sqref="K52">
    <cfRule type="expression" dxfId="766" priority="21" stopIfTrue="1">
      <formula>OR(($A52="Samstag"),($A52="Sonntag"))</formula>
    </cfRule>
  </conditionalFormatting>
  <conditionalFormatting sqref="K46">
    <cfRule type="expression" dxfId="765" priority="25" stopIfTrue="1">
      <formula>OR(($A46="Samstag"),($A46="Sonntag"))</formula>
    </cfRule>
  </conditionalFormatting>
  <conditionalFormatting sqref="K32">
    <cfRule type="expression" dxfId="764" priority="29" stopIfTrue="1">
      <formula>OR(($A32="Samstag"),($A32="Sonntag"))</formula>
    </cfRule>
  </conditionalFormatting>
  <conditionalFormatting sqref="K24:K25">
    <cfRule type="expression" dxfId="763" priority="32" stopIfTrue="1">
      <formula>OR(($A24="Samstag"),($A24="Sonntag"))</formula>
    </cfRule>
  </conditionalFormatting>
  <conditionalFormatting sqref="K24">
    <cfRule type="expression" dxfId="762" priority="31" stopIfTrue="1">
      <formula>OR(($A24="Samstag"),($A24="Sonntag"))</formula>
    </cfRule>
  </conditionalFormatting>
  <conditionalFormatting sqref="K25">
    <cfRule type="expression" dxfId="761" priority="30" stopIfTrue="1">
      <formula>OR(($A25="Samstag"),($A25="Sonntag"))</formula>
    </cfRule>
  </conditionalFormatting>
  <conditionalFormatting sqref="K39">
    <cfRule type="expression" dxfId="760" priority="27" stopIfTrue="1">
      <formula>OR(($A39="Samstag"),($A39="Sonntag"))</formula>
    </cfRule>
  </conditionalFormatting>
  <conditionalFormatting sqref="K39">
    <cfRule type="expression" dxfId="759" priority="28" stopIfTrue="1">
      <formula>OR(($A39="Samstag"),($A39="Sonntag"))</formula>
    </cfRule>
  </conditionalFormatting>
  <conditionalFormatting sqref="K39">
    <cfRule type="expression" dxfId="758" priority="26" stopIfTrue="1">
      <formula>OR(($A39="Samstag"),($A39="Sonntag"))</formula>
    </cfRule>
  </conditionalFormatting>
  <conditionalFormatting sqref="K46">
    <cfRule type="expression" dxfId="757" priority="24" stopIfTrue="1">
      <formula>OR(($A46="Samstag"),($A46="Sonntag"))</formula>
    </cfRule>
  </conditionalFormatting>
  <conditionalFormatting sqref="K46">
    <cfRule type="expression" dxfId="756" priority="23" stopIfTrue="1">
      <formula>OR(($A46="Samstag"),($A46="Sonntag"))</formula>
    </cfRule>
  </conditionalFormatting>
  <conditionalFormatting sqref="K22:K52">
    <cfRule type="expression" dxfId="755" priority="20" stopIfTrue="1">
      <formula>OR(($A22="Samstag"),($A22="Sonntag"))</formula>
    </cfRule>
  </conditionalFormatting>
  <conditionalFormatting sqref="K22:K52">
    <cfRule type="expression" dxfId="754" priority="19" stopIfTrue="1">
      <formula>OR(($A22="Samstag"),($A22="Sonntag"))</formula>
    </cfRule>
  </conditionalFormatting>
  <conditionalFormatting sqref="K31">
    <cfRule type="expression" dxfId="753" priority="18" stopIfTrue="1">
      <formula>OR(($A31="Samstag"),($A31="Sonntag"))</formula>
    </cfRule>
  </conditionalFormatting>
  <conditionalFormatting sqref="K31">
    <cfRule type="expression" dxfId="752" priority="17" stopIfTrue="1">
      <formula>OR(($A31="Samstag"),($A31="Sonntag"))</formula>
    </cfRule>
  </conditionalFormatting>
  <conditionalFormatting sqref="K38">
    <cfRule type="expression" dxfId="751" priority="16" stopIfTrue="1">
      <formula>OR(($A38="Samstag"),($A38="Sonntag"))</formula>
    </cfRule>
  </conditionalFormatting>
  <conditionalFormatting sqref="K38">
    <cfRule type="expression" dxfId="750" priority="15" stopIfTrue="1">
      <formula>OR(($A38="Samstag"),($A38="Sonntag"))</formula>
    </cfRule>
  </conditionalFormatting>
  <conditionalFormatting sqref="K45">
    <cfRule type="expression" dxfId="749" priority="14" stopIfTrue="1">
      <formula>OR(($A45="Samstag"),($A45="Sonntag"))</formula>
    </cfRule>
  </conditionalFormatting>
  <conditionalFormatting sqref="K45">
    <cfRule type="expression" dxfId="748" priority="13" stopIfTrue="1">
      <formula>OR(($A45="Samstag"),($A45="Sonntag"))</formula>
    </cfRule>
  </conditionalFormatting>
  <conditionalFormatting sqref="K40:K44">
    <cfRule type="expression" dxfId="747" priority="6" stopIfTrue="1">
      <formula>OR(($A40="Samstag"),($A40="Sonntag"))</formula>
    </cfRule>
  </conditionalFormatting>
  <conditionalFormatting sqref="K40:K44">
    <cfRule type="expression" dxfId="746" priority="5" stopIfTrue="1">
      <formula>OR(($A40="Samstag"),($A40="Sonntag"))</formula>
    </cfRule>
  </conditionalFormatting>
  <conditionalFormatting sqref="K23">
    <cfRule type="expression" dxfId="745" priority="12" stopIfTrue="1">
      <formula>OR(($A23="Samstag"),($A23="Sonntag"))</formula>
    </cfRule>
  </conditionalFormatting>
  <conditionalFormatting sqref="K23">
    <cfRule type="expression" dxfId="744" priority="11" stopIfTrue="1">
      <formula>OR(($A23="Samstag"),($A23="Sonntag"))</formula>
    </cfRule>
  </conditionalFormatting>
  <conditionalFormatting sqref="K26:K30">
    <cfRule type="expression" dxfId="743" priority="10" stopIfTrue="1">
      <formula>OR(($A26="Samstag"),($A26="Sonntag"))</formula>
    </cfRule>
  </conditionalFormatting>
  <conditionalFormatting sqref="K26:K30">
    <cfRule type="expression" dxfId="742" priority="9" stopIfTrue="1">
      <formula>OR(($A26="Samstag"),($A26="Sonntag"))</formula>
    </cfRule>
  </conditionalFormatting>
  <conditionalFormatting sqref="K33:K37">
    <cfRule type="expression" dxfId="741" priority="8" stopIfTrue="1">
      <formula>OR(($A33="Samstag"),($A33="Sonntag"))</formula>
    </cfRule>
  </conditionalFormatting>
  <conditionalFormatting sqref="K33:K37">
    <cfRule type="expression" dxfId="740" priority="7" stopIfTrue="1">
      <formula>OR(($A33="Samstag"),($A33="Sonntag"))</formula>
    </cfRule>
  </conditionalFormatting>
  <conditionalFormatting sqref="K47:K51">
    <cfRule type="expression" dxfId="739" priority="4" stopIfTrue="1">
      <formula>OR(($A47="Samstag"),($A47="Sonntag"))</formula>
    </cfRule>
  </conditionalFormatting>
  <conditionalFormatting sqref="K47:K51">
    <cfRule type="expression" dxfId="738" priority="3" stopIfTrue="1">
      <formula>OR(($A47="Samstag"),($A47="Sonntag"))</formula>
    </cfRule>
  </conditionalFormatting>
  <conditionalFormatting sqref="J22:J52">
    <cfRule type="expression" dxfId="737" priority="2" stopIfTrue="1">
      <formula>OR(($A22="Samstag"),($A22="Sonntag"))</formula>
    </cfRule>
  </conditionalFormatting>
  <conditionalFormatting sqref="J22:J52">
    <cfRule type="expression" dxfId="736" priority="1" stopIfTrue="1">
      <formula>OR(($A22="Samstag"),($A22="Sonntag"))</formula>
    </cfRule>
  </conditionalFormatting>
  <dataValidations count="8">
    <dataValidation type="custom" allowBlank="1" showInputMessage="1" showErrorMessage="1" errorTitle="Eingabefehler" error="Bitte geben Sie eine Uhrzeit ( hh:mm ) zwischen 0:00 und 23:59 ein. Bitte beachten Sie, dass eine Eingabe an Wochenenden sowie an Tagen mit dem Status &quot;bezahlt abwesend&quot; nicht möglich ist." sqref="F22:H52">
      <formula1>AND(ISNUMBER(F22),DAY($B22)&gt;0,NOT(AND($C22="BA",NOT($S$8))),NOT(AND(OR($A22="Sonntag",$A22="Samstag"),NOT($S$7))),F22&gt;=TIME(0,0,0),F22&lt;=TIME(23,59,59))</formula1>
    </dataValidation>
    <dataValidation type="list" showInputMessage="1" showErrorMessage="1" sqref="C22:C52">
      <formula1>Auswahlart</formula1>
    </dataValidation>
    <dataValidation type="list" allowBlank="1" showInputMessage="1" showErrorMessage="1" sqref="E17:F17">
      <formula1>$B$22:$B$52</formula1>
    </dataValidation>
    <dataValidation showInputMessage="1" showErrorMessage="1" sqref="G10:I10"/>
    <dataValidation type="decimal" allowBlank="1" showInputMessage="1" showErrorMessage="1" sqref="I16:M16 I12:M12">
      <formula1>$AA$35</formula1>
      <formula2>$AA$36</formula2>
    </dataValidation>
    <dataValidation type="decimal" allowBlank="1" showInputMessage="1" showErrorMessage="1" errorTitle="Eingabefehler" error="Bitte geben Sie eine positive Dezimalzahl ein." sqref="D22:D52">
      <formula1>0</formula1>
      <formula2>20</formula2>
    </dataValidation>
    <dataValidation type="decimal" allowBlank="1" showInputMessage="1" showErrorMessage="1" sqref="M7:O7">
      <formula1>-9999999</formula1>
      <formula2>9999999</formula2>
    </dataValidation>
    <dataValidation type="decimal" allowBlank="1" showInputMessage="1" showErrorMessage="1" sqref="F12 F16 I13:M13 I17:M17">
      <formula1>0</formula1>
      <formula2>45</formula2>
    </dataValidation>
  </dataValidations>
  <pageMargins left="0.43307086614173229" right="0.23622047244094491" top="0.89" bottom="0.54" header="0.4" footer="0.31496062992125984"/>
  <pageSetup paperSize="9" scale="65" orientation="portrait" r:id="rId1"/>
  <headerFooter differentFirst="1" alignWithMargins="0">
    <firstHeader>&amp;L&amp;G</firstHeader>
  </headerFooter>
  <drawing r:id="rId2"/>
  <legacyDrawing r:id="rId3"/>
  <legacyDrawingHF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
    <pageSetUpPr fitToPage="1"/>
  </sheetPr>
  <dimension ref="A1:IR80"/>
  <sheetViews>
    <sheetView showGridLines="0" showRowColHeaders="0" topLeftCell="A28" zoomScaleNormal="100" zoomScaleSheetLayoutView="55" workbookViewId="0">
      <selection activeCell="C28" sqref="C28"/>
    </sheetView>
  </sheetViews>
  <sheetFormatPr baseColWidth="10" defaultColWidth="6.25" defaultRowHeight="0" customHeight="1" zeroHeight="1"/>
  <cols>
    <col min="1" max="1" width="5" style="6" customWidth="1"/>
    <col min="2" max="2" width="11.25" style="57" customWidth="1"/>
    <col min="3" max="3" width="7.5" style="57" customWidth="1"/>
    <col min="4" max="8" width="7.75" style="57" customWidth="1"/>
    <col min="9" max="13" width="8.125" style="57" customWidth="1"/>
    <col min="14" max="14" width="7.5" style="57" customWidth="1"/>
    <col min="15" max="15" width="10" style="57" customWidth="1"/>
    <col min="16" max="16" width="7.5" style="24" customWidth="1"/>
    <col min="17" max="17" width="5" style="24" customWidth="1"/>
    <col min="18" max="18" width="10.125" style="6" customWidth="1"/>
    <col min="19" max="19" width="7.5" style="6" bestFit="1" customWidth="1"/>
    <col min="20" max="20" width="8.5" style="6" bestFit="1" customWidth="1"/>
    <col min="21" max="21" width="7.25" style="6" bestFit="1" customWidth="1"/>
    <col min="22" max="22" width="7.75" style="6" bestFit="1" customWidth="1"/>
    <col min="23" max="23" width="7.5" style="6" bestFit="1" customWidth="1"/>
    <col min="24" max="24" width="8.125" style="6" bestFit="1" customWidth="1"/>
    <col min="25" max="25" width="7.25" style="6" bestFit="1" customWidth="1"/>
    <col min="26" max="26" width="7.25" style="6" customWidth="1"/>
    <col min="27" max="27" width="10.5" style="68" customWidth="1"/>
    <col min="28" max="28" width="9.875" style="68" customWidth="1"/>
    <col min="29" max="29" width="11.125" style="6" customWidth="1"/>
    <col min="30" max="31" width="11.125" style="95" customWidth="1"/>
    <col min="32" max="34" width="6.25" style="96" customWidth="1"/>
    <col min="35" max="252" width="6.25" style="3" customWidth="1"/>
    <col min="253" max="16384" width="6.25" style="3"/>
  </cols>
  <sheetData>
    <row r="1" spans="1:34" ht="11.25" customHeight="1">
      <c r="A1" s="3"/>
      <c r="B1" s="92"/>
      <c r="C1" s="92"/>
      <c r="D1" s="92"/>
      <c r="E1" s="92"/>
      <c r="F1" s="92"/>
      <c r="G1" s="92"/>
      <c r="H1" s="92"/>
      <c r="I1" s="92"/>
      <c r="J1" s="92"/>
      <c r="K1" s="92"/>
      <c r="L1" s="92"/>
      <c r="M1" s="92"/>
      <c r="N1" s="92"/>
      <c r="O1" s="92"/>
      <c r="P1" s="8"/>
      <c r="Q1" s="154"/>
      <c r="R1" s="154"/>
      <c r="S1" s="69"/>
      <c r="T1" s="69"/>
      <c r="U1" s="69"/>
      <c r="V1" s="3"/>
      <c r="W1" s="3"/>
      <c r="X1" s="3"/>
      <c r="Y1" s="3"/>
      <c r="Z1" s="3"/>
      <c r="AA1" s="3"/>
      <c r="AB1" s="3"/>
      <c r="AC1" s="3"/>
      <c r="AD1" s="3"/>
      <c r="AE1" s="3"/>
      <c r="AF1" s="3"/>
      <c r="AG1" s="3"/>
      <c r="AH1" s="3"/>
    </row>
    <row r="2" spans="1:34" ht="18.75" customHeight="1">
      <c r="A2" s="3"/>
      <c r="B2" s="221" t="s">
        <v>9</v>
      </c>
      <c r="C2" s="221"/>
      <c r="D2" s="221"/>
      <c r="E2" s="221"/>
      <c r="F2" s="221"/>
      <c r="G2" s="221"/>
      <c r="H2" s="221"/>
      <c r="I2" s="221" t="s">
        <v>38</v>
      </c>
      <c r="J2" s="221"/>
      <c r="K2" s="278">
        <f>Übersicht!K2</f>
        <v>2017</v>
      </c>
      <c r="L2" s="278"/>
      <c r="M2" s="93"/>
      <c r="N2" s="93"/>
      <c r="O2" s="93"/>
      <c r="P2" s="94"/>
      <c r="Q2" s="154"/>
      <c r="R2" s="154"/>
      <c r="S2" s="69"/>
      <c r="T2" s="69"/>
      <c r="U2" s="69"/>
      <c r="V2" s="3"/>
      <c r="W2" s="3"/>
      <c r="X2" s="3"/>
      <c r="Y2" s="3"/>
      <c r="Z2" s="3"/>
      <c r="AA2" s="3"/>
      <c r="AB2" s="3"/>
      <c r="AC2" s="3"/>
      <c r="AD2" s="3"/>
      <c r="AE2" s="3"/>
      <c r="AF2" s="3"/>
      <c r="AG2" s="3"/>
      <c r="AH2" s="3"/>
    </row>
    <row r="3" spans="1:34" ht="11.25" customHeight="1">
      <c r="A3" s="3"/>
      <c r="B3" s="10"/>
      <c r="C3" s="10"/>
      <c r="D3" s="10"/>
      <c r="E3" s="10"/>
      <c r="F3" s="10"/>
      <c r="G3" s="10"/>
      <c r="H3" s="10"/>
      <c r="I3" s="10"/>
      <c r="J3" s="10"/>
      <c r="K3" s="10"/>
      <c r="L3" s="10"/>
      <c r="M3" s="10"/>
      <c r="N3" s="10"/>
      <c r="O3" s="10"/>
      <c r="P3" s="8"/>
      <c r="Q3" s="154"/>
      <c r="R3" s="154"/>
      <c r="S3" s="69"/>
      <c r="T3" s="69"/>
      <c r="U3" s="69"/>
      <c r="V3" s="3"/>
      <c r="W3" s="3"/>
      <c r="X3" s="3"/>
      <c r="Y3" s="3"/>
      <c r="Z3" s="3"/>
      <c r="AA3" s="3"/>
      <c r="AB3" s="3"/>
      <c r="AC3" s="3"/>
      <c r="AD3" s="3"/>
      <c r="AE3" s="3"/>
      <c r="AF3" s="3"/>
      <c r="AG3" s="3"/>
      <c r="AH3" s="3"/>
    </row>
    <row r="4" spans="1:34" ht="15" customHeight="1">
      <c r="A4" s="3"/>
      <c r="B4" s="11"/>
      <c r="C4" s="12"/>
      <c r="D4" s="12"/>
      <c r="E4" s="12"/>
      <c r="F4" s="12"/>
      <c r="G4" s="12"/>
      <c r="H4" s="12"/>
      <c r="I4" s="12"/>
      <c r="J4" s="12"/>
      <c r="K4" s="12"/>
      <c r="L4" s="12"/>
      <c r="M4" s="12"/>
      <c r="N4" s="12"/>
      <c r="O4" s="12"/>
      <c r="P4" s="13"/>
      <c r="Q4" s="154"/>
      <c r="R4" s="154"/>
      <c r="S4" s="69"/>
      <c r="T4" s="69"/>
      <c r="U4" s="69"/>
      <c r="V4" s="3"/>
      <c r="W4" s="3"/>
      <c r="X4" s="3"/>
      <c r="Y4" s="3"/>
      <c r="Z4" s="3"/>
      <c r="AA4" s="3"/>
      <c r="AB4" s="3"/>
      <c r="AC4" s="3"/>
      <c r="AD4" s="3"/>
      <c r="AE4" s="3"/>
      <c r="AF4" s="3"/>
      <c r="AG4" s="3"/>
      <c r="AH4" s="3"/>
    </row>
    <row r="5" spans="1:34" ht="22.5" customHeight="1">
      <c r="A5" s="3"/>
      <c r="B5" s="107"/>
      <c r="C5" s="25" t="s">
        <v>3</v>
      </c>
      <c r="D5" s="15"/>
      <c r="E5" s="258" t="str">
        <f>IF(Übersicht!E5&lt;&gt;"",Übersicht!E5,"")</f>
        <v>Jansen, David</v>
      </c>
      <c r="F5" s="259"/>
      <c r="G5" s="259"/>
      <c r="H5" s="260"/>
      <c r="I5" s="16"/>
      <c r="J5" s="25" t="s">
        <v>65</v>
      </c>
      <c r="K5" s="16"/>
      <c r="M5" s="261">
        <f>IF(Übersicht!M5&lt;&gt;"",Übersicht!M5,"")</f>
        <v>419510</v>
      </c>
      <c r="N5" s="262"/>
      <c r="O5" s="263"/>
      <c r="P5" s="17"/>
      <c r="Q5" s="155"/>
      <c r="R5" s="155"/>
      <c r="S5" s="68"/>
      <c r="T5" s="68"/>
      <c r="V5" s="3"/>
      <c r="W5" s="3"/>
      <c r="X5" s="3"/>
      <c r="Y5" s="3"/>
      <c r="Z5" s="3"/>
      <c r="AA5" s="3"/>
      <c r="AB5" s="3"/>
      <c r="AC5" s="3"/>
      <c r="AD5" s="3"/>
      <c r="AE5" s="3"/>
      <c r="AF5" s="3"/>
      <c r="AG5" s="3"/>
      <c r="AH5" s="3"/>
    </row>
    <row r="6" spans="1:34" ht="15">
      <c r="A6" s="3"/>
      <c r="B6" s="18"/>
      <c r="C6" s="19"/>
      <c r="D6" s="19"/>
      <c r="E6" s="19"/>
      <c r="F6" s="19"/>
      <c r="G6" s="20"/>
      <c r="H6" s="20"/>
      <c r="I6" s="16"/>
      <c r="J6" s="16"/>
      <c r="P6" s="23"/>
      <c r="Q6" s="156"/>
      <c r="R6" s="156"/>
      <c r="V6" s="3"/>
      <c r="W6" s="3"/>
      <c r="X6" s="3"/>
      <c r="Y6" s="3"/>
      <c r="Z6" s="3"/>
      <c r="AA6" s="3"/>
      <c r="AB6" s="3"/>
      <c r="AC6" s="3"/>
      <c r="AD6" s="3"/>
      <c r="AE6" s="3"/>
      <c r="AF6" s="3"/>
      <c r="AG6" s="3"/>
      <c r="AH6" s="3"/>
    </row>
    <row r="7" spans="1:34" ht="22.5" customHeight="1">
      <c r="A7" s="3"/>
      <c r="B7" s="107"/>
      <c r="C7" s="25" t="s">
        <v>7</v>
      </c>
      <c r="D7" s="16"/>
      <c r="E7" s="258" t="str">
        <f>IF(Übersicht!E7&lt;&gt;"",Übersicht!E7,"")</f>
        <v>Hiwi</v>
      </c>
      <c r="F7" s="259"/>
      <c r="G7" s="259"/>
      <c r="H7" s="260"/>
      <c r="I7" s="16"/>
      <c r="J7" s="25" t="s">
        <v>74</v>
      </c>
      <c r="K7" s="16"/>
      <c r="M7" s="272">
        <f>August!K54</f>
        <v>-87.25</v>
      </c>
      <c r="N7" s="285"/>
      <c r="O7" s="286"/>
      <c r="P7" s="23"/>
      <c r="Q7" s="156"/>
      <c r="R7" s="6" t="s">
        <v>81</v>
      </c>
      <c r="S7" s="211" t="b">
        <f>OR(IF(E7&gt;"",IF(MID(E7,LEN(E7)-1,2)="WE","WAHR",FALSE),FALSE),IF(E7&gt;"",IF(MID(E7,LEN(E7)-2,3)="WEF","WAHR",FALSE),FALSE))</f>
        <v>0</v>
      </c>
      <c r="V7" s="3"/>
      <c r="W7" s="3"/>
      <c r="X7" s="3"/>
      <c r="Y7" s="3"/>
      <c r="Z7" s="3"/>
      <c r="AA7" s="3"/>
      <c r="AB7" s="3"/>
      <c r="AC7" s="3"/>
      <c r="AD7" s="3"/>
      <c r="AE7" s="3"/>
      <c r="AF7" s="3"/>
      <c r="AG7" s="3"/>
      <c r="AH7" s="3"/>
    </row>
    <row r="8" spans="1:34" ht="22.5" customHeight="1">
      <c r="A8" s="3"/>
      <c r="B8" s="186"/>
      <c r="C8" s="187"/>
      <c r="D8" s="187"/>
      <c r="E8" s="187"/>
      <c r="F8" s="188"/>
      <c r="G8" s="189"/>
      <c r="H8" s="189"/>
      <c r="I8" s="189"/>
      <c r="J8" s="61"/>
      <c r="K8" s="61"/>
      <c r="L8" s="61"/>
      <c r="M8" s="61"/>
      <c r="N8" s="61"/>
      <c r="O8" s="61"/>
      <c r="P8" s="190"/>
      <c r="Q8" s="156"/>
      <c r="R8" s="6" t="s">
        <v>82</v>
      </c>
      <c r="S8" s="211" t="b">
        <f>IF(E7&gt;"",IF(MID(E7,LEN(E7)-2,3)="WEF","WAHR",FALSE),FALSE)</f>
        <v>0</v>
      </c>
      <c r="V8" s="3"/>
      <c r="W8" s="3"/>
      <c r="X8" s="3"/>
      <c r="Y8" s="3"/>
      <c r="Z8" s="3"/>
      <c r="AA8" s="3"/>
      <c r="AB8" s="3"/>
      <c r="AC8" s="3"/>
      <c r="AD8" s="3"/>
      <c r="AE8" s="3"/>
      <c r="AF8" s="3"/>
      <c r="AG8" s="3"/>
      <c r="AH8" s="3"/>
    </row>
    <row r="9" spans="1:34" ht="22.5" customHeight="1">
      <c r="A9" s="3"/>
      <c r="B9" s="107"/>
      <c r="C9" s="25" t="s">
        <v>73</v>
      </c>
      <c r="D9" s="16"/>
      <c r="E9" s="191" t="str">
        <f>IF(Übersicht!E11&lt;&gt;"",Übersicht!E11,"")</f>
        <v>Innogy Abwasser</v>
      </c>
      <c r="F9" s="192"/>
      <c r="G9" s="192"/>
      <c r="H9" s="192"/>
      <c r="I9" s="192"/>
      <c r="J9" s="192"/>
      <c r="K9" s="192"/>
      <c r="L9" s="192"/>
      <c r="M9" s="192"/>
      <c r="N9" s="192"/>
      <c r="O9" s="193"/>
      <c r="P9" s="23"/>
      <c r="Q9" s="156"/>
      <c r="R9" s="156"/>
      <c r="V9" s="3"/>
      <c r="W9" s="3"/>
      <c r="X9" s="3"/>
      <c r="Y9" s="3"/>
      <c r="Z9" s="3"/>
      <c r="AA9" s="3"/>
      <c r="AB9" s="3"/>
      <c r="AC9" s="3"/>
      <c r="AD9" s="3"/>
      <c r="AE9" s="3"/>
      <c r="AF9" s="3"/>
      <c r="AG9" s="3"/>
      <c r="AH9" s="3"/>
    </row>
    <row r="10" spans="1:34" ht="15">
      <c r="A10" s="3"/>
      <c r="B10" s="14"/>
      <c r="C10" s="25"/>
      <c r="D10" s="25"/>
      <c r="E10" s="25"/>
      <c r="F10" s="19"/>
      <c r="G10" s="26"/>
      <c r="H10" s="26"/>
      <c r="I10" s="26"/>
      <c r="P10" s="23"/>
      <c r="Q10" s="157"/>
      <c r="R10" s="157"/>
      <c r="S10" s="68"/>
      <c r="T10" s="68"/>
      <c r="U10" s="68"/>
      <c r="V10" s="3"/>
      <c r="W10" s="3"/>
      <c r="X10" s="3"/>
      <c r="Y10" s="3"/>
      <c r="Z10" s="3"/>
      <c r="AA10" s="3"/>
      <c r="AB10" s="3"/>
      <c r="AC10" s="3"/>
      <c r="AD10" s="3"/>
      <c r="AE10" s="3"/>
      <c r="AF10" s="3"/>
      <c r="AG10" s="3"/>
      <c r="AH10" s="3"/>
    </row>
    <row r="11" spans="1:34" ht="15" customHeight="1">
      <c r="A11" s="3"/>
      <c r="B11" s="112"/>
      <c r="C11" s="113"/>
      <c r="D11" s="114"/>
      <c r="E11" s="114"/>
      <c r="F11" s="115"/>
      <c r="G11" s="115"/>
      <c r="H11" s="116" t="s">
        <v>42</v>
      </c>
      <c r="I11" s="117" t="s">
        <v>12</v>
      </c>
      <c r="J11" s="118" t="s">
        <v>13</v>
      </c>
      <c r="K11" s="119" t="s">
        <v>14</v>
      </c>
      <c r="L11" s="117" t="s">
        <v>15</v>
      </c>
      <c r="M11" s="117" t="s">
        <v>16</v>
      </c>
      <c r="N11" s="120"/>
      <c r="O11" s="150"/>
      <c r="P11" s="23"/>
      <c r="Q11" s="156"/>
      <c r="R11" s="156"/>
      <c r="V11" s="3"/>
      <c r="W11" s="3"/>
      <c r="X11" s="3"/>
      <c r="Y11" s="3"/>
      <c r="Z11" s="3"/>
      <c r="AA11" s="3"/>
      <c r="AB11" s="3"/>
      <c r="AC11" s="3"/>
      <c r="AD11" s="3"/>
      <c r="AE11" s="3"/>
      <c r="AF11" s="3"/>
      <c r="AG11" s="3"/>
      <c r="AH11" s="3"/>
    </row>
    <row r="12" spans="1:34" ht="22.5" customHeight="1">
      <c r="A12" s="3"/>
      <c r="B12" s="112"/>
      <c r="C12" s="14" t="s">
        <v>30</v>
      </c>
      <c r="D12" s="21"/>
      <c r="E12" s="22"/>
      <c r="F12" s="152">
        <f>IF(August!F16&gt;0,August!F16,August!F12)</f>
        <v>10</v>
      </c>
      <c r="G12" s="92"/>
      <c r="H12" s="121" t="s">
        <v>43</v>
      </c>
      <c r="I12" s="122">
        <f>$F$12/5</f>
        <v>2</v>
      </c>
      <c r="J12" s="123">
        <f>$F$12/5</f>
        <v>2</v>
      </c>
      <c r="K12" s="123">
        <f>$F$12/5</f>
        <v>2</v>
      </c>
      <c r="L12" s="123">
        <f>$F$12/5</f>
        <v>2</v>
      </c>
      <c r="M12" s="124">
        <f>$F$12/5</f>
        <v>2</v>
      </c>
      <c r="N12" s="125" t="s">
        <v>45</v>
      </c>
      <c r="O12" s="150"/>
      <c r="P12" s="23"/>
      <c r="Q12" s="156"/>
      <c r="R12" s="156"/>
      <c r="V12" s="3"/>
      <c r="W12" s="3"/>
      <c r="X12" s="3"/>
      <c r="Y12" s="3"/>
      <c r="Z12" s="3"/>
      <c r="AA12" s="3"/>
      <c r="AB12" s="3"/>
      <c r="AC12" s="3"/>
      <c r="AD12" s="3"/>
      <c r="AE12" s="3"/>
      <c r="AF12" s="3"/>
      <c r="AG12" s="3"/>
      <c r="AH12" s="3"/>
    </row>
    <row r="13" spans="1:34" ht="22.5" customHeight="1">
      <c r="A13" s="3"/>
      <c r="B13" s="112"/>
      <c r="C13" s="126"/>
      <c r="D13" s="151"/>
      <c r="E13" s="151"/>
      <c r="F13" s="127"/>
      <c r="G13" s="127"/>
      <c r="H13" s="128" t="s">
        <v>44</v>
      </c>
      <c r="I13" s="108"/>
      <c r="J13" s="109"/>
      <c r="K13" s="109"/>
      <c r="L13" s="109"/>
      <c r="M13" s="110"/>
      <c r="N13" s="88">
        <f>SUM(I13:M13)</f>
        <v>0</v>
      </c>
      <c r="O13" s="150"/>
      <c r="P13" s="23"/>
      <c r="Q13" s="156"/>
      <c r="R13" s="156"/>
      <c r="V13" s="3"/>
      <c r="W13" s="3"/>
      <c r="X13" s="3"/>
      <c r="Y13" s="3"/>
      <c r="Z13" s="3"/>
      <c r="AA13" s="3"/>
      <c r="AB13" s="3"/>
      <c r="AC13" s="3"/>
      <c r="AD13" s="3"/>
      <c r="AE13" s="3"/>
      <c r="AF13" s="3"/>
      <c r="AG13" s="3"/>
      <c r="AH13" s="3"/>
    </row>
    <row r="14" spans="1:34" ht="18.75" customHeight="1">
      <c r="A14" s="3"/>
      <c r="B14" s="112"/>
      <c r="C14" s="149" t="s">
        <v>80</v>
      </c>
      <c r="D14" s="25"/>
      <c r="E14" s="27"/>
      <c r="F14" s="7"/>
      <c r="G14" s="7"/>
      <c r="O14" s="150"/>
      <c r="P14" s="23"/>
      <c r="Q14" s="156"/>
      <c r="R14" s="156"/>
      <c r="V14" s="3"/>
      <c r="W14" s="3"/>
      <c r="X14" s="3"/>
      <c r="Y14" s="3"/>
      <c r="Z14" s="3"/>
      <c r="AA14" s="3"/>
      <c r="AB14" s="3"/>
      <c r="AC14" s="3"/>
      <c r="AD14" s="3"/>
      <c r="AE14" s="3"/>
      <c r="AF14" s="3"/>
      <c r="AG14" s="3"/>
      <c r="AH14" s="3"/>
    </row>
    <row r="15" spans="1:34" ht="15" customHeight="1">
      <c r="A15" s="3"/>
      <c r="B15" s="112"/>
      <c r="C15" s="111"/>
      <c r="D15" s="129"/>
      <c r="E15" s="130"/>
      <c r="F15" s="130"/>
      <c r="G15" s="131"/>
      <c r="H15" s="132" t="s">
        <v>49</v>
      </c>
      <c r="I15" s="133" t="s">
        <v>12</v>
      </c>
      <c r="J15" s="134" t="s">
        <v>13</v>
      </c>
      <c r="K15" s="135" t="s">
        <v>14</v>
      </c>
      <c r="L15" s="133" t="s">
        <v>15</v>
      </c>
      <c r="M15" s="133" t="s">
        <v>16</v>
      </c>
      <c r="N15" s="136"/>
      <c r="O15" s="150"/>
      <c r="P15" s="23"/>
      <c r="Q15" s="156"/>
      <c r="R15" s="156"/>
      <c r="V15" s="3"/>
      <c r="W15" s="3"/>
      <c r="X15" s="3"/>
      <c r="Y15" s="3"/>
      <c r="Z15" s="3"/>
      <c r="AA15" s="3"/>
      <c r="AB15" s="3"/>
      <c r="AC15" s="3"/>
      <c r="AD15" s="3"/>
      <c r="AE15" s="3"/>
      <c r="AF15" s="3"/>
      <c r="AG15" s="3"/>
      <c r="AH15" s="3"/>
    </row>
    <row r="16" spans="1:34" ht="23.25" customHeight="1">
      <c r="A16" s="3"/>
      <c r="B16" s="112"/>
      <c r="C16" s="147" t="s">
        <v>48</v>
      </c>
      <c r="D16" s="148"/>
      <c r="E16" s="148"/>
      <c r="F16" s="152"/>
      <c r="G16" s="137"/>
      <c r="H16" s="138" t="s">
        <v>43</v>
      </c>
      <c r="I16" s="139">
        <f>$F$16/5</f>
        <v>0</v>
      </c>
      <c r="J16" s="140">
        <f>$F$16/5</f>
        <v>0</v>
      </c>
      <c r="K16" s="140">
        <f>$F$16/5</f>
        <v>0</v>
      </c>
      <c r="L16" s="140">
        <f>$F$16/5</f>
        <v>0</v>
      </c>
      <c r="M16" s="141">
        <f>$F$16/5</f>
        <v>0</v>
      </c>
      <c r="N16" s="142" t="s">
        <v>45</v>
      </c>
      <c r="O16" s="150"/>
      <c r="P16" s="23"/>
      <c r="Q16" s="156"/>
      <c r="R16" s="156"/>
      <c r="V16" s="3"/>
      <c r="W16" s="3"/>
      <c r="X16" s="3"/>
      <c r="Y16" s="3"/>
      <c r="Z16" s="3"/>
      <c r="AA16" s="3"/>
      <c r="AB16" s="3"/>
      <c r="AC16" s="3"/>
      <c r="AD16" s="3"/>
      <c r="AE16" s="3"/>
      <c r="AF16" s="3"/>
      <c r="AG16" s="3"/>
      <c r="AH16" s="3"/>
    </row>
    <row r="17" spans="1:252" ht="22.5" customHeight="1">
      <c r="A17" s="3"/>
      <c r="B17" s="112"/>
      <c r="C17" s="143" t="s">
        <v>47</v>
      </c>
      <c r="D17" s="144"/>
      <c r="E17" s="279"/>
      <c r="F17" s="279"/>
      <c r="G17" s="153" t="b">
        <f>IF($E$17&lt;&gt;0,TRUE(),FALSE())</f>
        <v>0</v>
      </c>
      <c r="H17" s="145" t="s">
        <v>44</v>
      </c>
      <c r="I17" s="108"/>
      <c r="J17" s="109"/>
      <c r="K17" s="109"/>
      <c r="L17" s="109"/>
      <c r="M17" s="110"/>
      <c r="N17" s="146">
        <f>SUM(I17:M17)</f>
        <v>0</v>
      </c>
      <c r="O17" s="150"/>
      <c r="P17" s="23"/>
      <c r="Q17" s="156"/>
      <c r="R17" s="156"/>
      <c r="V17" s="3"/>
      <c r="W17" s="3"/>
      <c r="X17" s="3"/>
      <c r="Y17" s="3"/>
      <c r="Z17" s="3"/>
      <c r="AA17" s="3"/>
      <c r="AB17" s="3"/>
      <c r="AC17" s="3"/>
      <c r="AD17" s="3"/>
      <c r="AE17" s="3"/>
      <c r="AF17" s="3"/>
      <c r="AG17" s="3"/>
      <c r="AH17" s="3"/>
    </row>
    <row r="18" spans="1:252" ht="15">
      <c r="A18" s="3"/>
      <c r="B18" s="85"/>
      <c r="C18" s="86"/>
      <c r="D18" s="87"/>
      <c r="E18" s="87"/>
      <c r="F18" s="87"/>
      <c r="G18" s="87"/>
      <c r="H18" s="87"/>
      <c r="I18" s="87"/>
      <c r="J18" s="87"/>
      <c r="K18" s="9"/>
      <c r="L18" s="9"/>
      <c r="M18" s="9"/>
      <c r="N18" s="9"/>
      <c r="O18" s="9"/>
      <c r="P18" s="28"/>
      <c r="Q18" s="156"/>
      <c r="R18" s="156"/>
      <c r="V18" s="3"/>
      <c r="W18" s="3"/>
      <c r="X18" s="3"/>
      <c r="Y18" s="3"/>
      <c r="Z18" s="3"/>
      <c r="AA18" s="3"/>
      <c r="AB18" s="3"/>
      <c r="AC18" s="3"/>
      <c r="AD18" s="3"/>
      <c r="AE18" s="3"/>
      <c r="AF18" s="3"/>
      <c r="AG18" s="3"/>
      <c r="AH18" s="3"/>
    </row>
    <row r="19" spans="1:252" ht="15.75" thickBot="1">
      <c r="A19" s="29"/>
      <c r="B19" s="164"/>
      <c r="C19" s="68"/>
      <c r="D19" s="68"/>
      <c r="E19" s="68"/>
      <c r="F19" s="68"/>
      <c r="G19" s="68"/>
      <c r="H19" s="68"/>
      <c r="I19" s="68"/>
      <c r="J19" s="68"/>
      <c r="K19" s="68"/>
      <c r="L19" s="68"/>
      <c r="M19" s="68"/>
      <c r="N19" s="68"/>
      <c r="O19" s="68"/>
      <c r="P19" s="68"/>
      <c r="Q19" s="157"/>
      <c r="R19" s="157"/>
      <c r="S19" s="68"/>
      <c r="T19" s="68"/>
      <c r="U19" s="68"/>
    </row>
    <row r="20" spans="1:252" s="4" customFormat="1" ht="18.75" customHeight="1">
      <c r="A20" s="30"/>
      <c r="B20" s="202"/>
      <c r="C20" s="264" t="s">
        <v>29</v>
      </c>
      <c r="D20" s="265"/>
      <c r="E20" s="265"/>
      <c r="F20" s="266" t="s">
        <v>67</v>
      </c>
      <c r="G20" s="267"/>
      <c r="H20" s="268"/>
      <c r="I20" s="269" t="s">
        <v>25</v>
      </c>
      <c r="J20" s="269"/>
      <c r="K20" s="270"/>
      <c r="L20" s="271"/>
      <c r="M20" s="269"/>
      <c r="N20" s="269"/>
      <c r="O20" s="269"/>
      <c r="P20" s="270"/>
      <c r="Q20" s="158"/>
      <c r="R20" s="158"/>
      <c r="S20" s="70" t="s">
        <v>22</v>
      </c>
      <c r="T20" s="70" t="s">
        <v>23</v>
      </c>
      <c r="U20" s="70" t="s">
        <v>23</v>
      </c>
      <c r="V20" s="71" t="s">
        <v>24</v>
      </c>
      <c r="W20" s="71" t="s">
        <v>22</v>
      </c>
      <c r="X20" s="71" t="s">
        <v>22</v>
      </c>
      <c r="Y20" s="71"/>
      <c r="Z20" s="71"/>
      <c r="AA20" s="70"/>
      <c r="AB20" s="70"/>
      <c r="AC20" s="71"/>
      <c r="AD20" s="97"/>
      <c r="AE20" s="97"/>
      <c r="AF20" s="98"/>
      <c r="AG20" s="98"/>
      <c r="AH20" s="98"/>
    </row>
    <row r="21" spans="1:252" ht="18.75" customHeight="1">
      <c r="A21" s="31">
        <f>DATEVALUE(I2&amp;K2)</f>
        <v>42979</v>
      </c>
      <c r="B21" s="203" t="s">
        <v>0</v>
      </c>
      <c r="C21" s="1" t="s">
        <v>8</v>
      </c>
      <c r="D21" s="5"/>
      <c r="E21" s="204" t="s">
        <v>18</v>
      </c>
      <c r="F21" s="173" t="s">
        <v>1</v>
      </c>
      <c r="G21" s="174" t="s">
        <v>6</v>
      </c>
      <c r="H21" s="175" t="s">
        <v>2</v>
      </c>
      <c r="I21" s="204" t="s">
        <v>17</v>
      </c>
      <c r="J21" s="2" t="s">
        <v>21</v>
      </c>
      <c r="K21" s="204" t="s">
        <v>19</v>
      </c>
      <c r="L21" s="275" t="s">
        <v>71</v>
      </c>
      <c r="M21" s="276"/>
      <c r="N21" s="276"/>
      <c r="O21" s="276"/>
      <c r="P21" s="277"/>
      <c r="Q21" s="159"/>
      <c r="R21" s="159"/>
      <c r="S21" s="72" t="s">
        <v>11</v>
      </c>
      <c r="T21" s="72" t="s">
        <v>1</v>
      </c>
      <c r="U21" s="72" t="s">
        <v>6</v>
      </c>
      <c r="V21" s="73" t="s">
        <v>2</v>
      </c>
      <c r="W21" s="73" t="s">
        <v>20</v>
      </c>
      <c r="X21" s="74" t="s">
        <v>21</v>
      </c>
      <c r="Y21" s="73" t="s">
        <v>19</v>
      </c>
      <c r="Z21" s="75"/>
    </row>
    <row r="22" spans="1:252" ht="20.25" customHeight="1">
      <c r="A22" s="32" t="str">
        <f t="shared" ref="A22:A52" si="0">TEXT(B22,"TTTT")</f>
        <v>Freitag</v>
      </c>
      <c r="B22" s="33">
        <f>($A$21+ROW(B1)-1)*(MONTH($A$21+1)=MONTH($A$21))</f>
        <v>42979</v>
      </c>
      <c r="C22" s="185" t="str">
        <f>IF(OR(A22="Samstag",A22="Sonntag"),"",IF(COUNTIF(Übersicht!C$16:C$30,B22)&gt;0,"BA",""))</f>
        <v/>
      </c>
      <c r="D22" s="34"/>
      <c r="E22" s="172">
        <f>IF(OR(A22="Samstag",A22="Sonntag",C22="BA"),"",
IF(C22="SV",D22,
IF(OR($E$17="",B22&lt;$E$17),IF($N$13=0,HLOOKUP($A22,$I$11:$M$12,2,FALSE),IF($N$13=$F$12,HLOOKUP($A22,$I$11:$M$13,3,FALSE),"FEHLER")),
IF($N$17=0,HLOOKUP($A22,$I$15:$M$16,2,FALSE),IF($N$17=$F$16,HLOOKUP($A22,$I$15:$M$17,3,FALSE),"FEHLER")))))</f>
        <v>2</v>
      </c>
      <c r="F22" s="195"/>
      <c r="G22" s="196"/>
      <c r="H22" s="197"/>
      <c r="I22" s="38">
        <f t="shared" ref="I22:I52" si="1">IF(OR(C22="K",C22="U",C22="F"),E22,IF(C22="SU",IF(H22="",D22,((H22-F22)-G22)+D22),IF(AND(H22="",E22=""),0,((H22-F22)-G22)*24)))</f>
        <v>0</v>
      </c>
      <c r="J22" s="35">
        <f>IF(E22="Fehler",0,IF(E22="",I22,I22-E22))</f>
        <v>-2</v>
      </c>
      <c r="K22" s="36">
        <f>M7+J22</f>
        <v>-89.25</v>
      </c>
      <c r="L22" s="251"/>
      <c r="M22" s="252"/>
      <c r="N22" s="252"/>
      <c r="O22" s="252"/>
      <c r="P22" s="253"/>
      <c r="Q22" s="89"/>
      <c r="R22" s="165"/>
      <c r="S22" s="76"/>
      <c r="T22" s="76"/>
      <c r="U22" s="76"/>
      <c r="V22" s="76"/>
      <c r="W22" s="76"/>
      <c r="X22" s="76"/>
      <c r="Y22" s="76"/>
      <c r="Z22" s="76"/>
      <c r="AB22" s="166"/>
      <c r="AE22" s="99"/>
    </row>
    <row r="23" spans="1:252" s="96" customFormat="1" ht="20.25" customHeight="1">
      <c r="A23" s="32" t="str">
        <f t="shared" si="0"/>
        <v>Samstag</v>
      </c>
      <c r="B23" s="37">
        <f t="shared" ref="B23:B52" si="2">($A$21+ROW(B2)-1)*(MONTH(B22+1)=MONTH($A$21))</f>
        <v>42980</v>
      </c>
      <c r="C23" s="185" t="str">
        <f>IF(OR(A23="Samstag",A23="Sonntag"),"",IF(COUNTIF(Übersicht!C$16:C$30,B23)&gt;0,"BA",""))</f>
        <v/>
      </c>
      <c r="D23" s="38"/>
      <c r="E23" s="172" t="str">
        <f>IF(OR(A23="Samstag",A23="Sonntag",C23="BA"),"",
IF(C23="SV",D23,
IF(OR($E$17="",B23&lt;$E$17),IF($N$13=0,HLOOKUP($A23,$I$11:$M$12,2,FALSE),IF($N$13=$F$12,HLOOKUP($A23,$I$11:$M$13,3,FALSE),"FEHLER")),
IF($N$17=0,HLOOKUP($A23,$I$15:$M$16,2,FALSE),IF($N$17=$F$16,HLOOKUP($A23,$I$15:$M$17,3,FALSE),"FEHLER")))))</f>
        <v/>
      </c>
      <c r="F23" s="176"/>
      <c r="G23" s="177"/>
      <c r="H23" s="178"/>
      <c r="I23" s="38">
        <f t="shared" si="1"/>
        <v>0</v>
      </c>
      <c r="J23" s="35">
        <f t="shared" ref="J23:J52" si="3">IF(E23="Fehler",0,IF(E23="",I23,I23-E23))</f>
        <v>0</v>
      </c>
      <c r="K23" s="36">
        <f>SUM(K22,J23)</f>
        <v>-89.25</v>
      </c>
      <c r="L23" s="251"/>
      <c r="M23" s="252"/>
      <c r="N23" s="252"/>
      <c r="O23" s="252"/>
      <c r="P23" s="253"/>
      <c r="Q23" s="89"/>
      <c r="R23" s="165"/>
      <c r="S23" s="76"/>
      <c r="T23" s="76"/>
      <c r="U23" s="76"/>
      <c r="V23" s="76"/>
      <c r="W23" s="76"/>
      <c r="X23" s="76"/>
      <c r="Y23" s="76"/>
      <c r="Z23" s="76"/>
      <c r="AA23" s="68"/>
      <c r="AB23" s="166"/>
      <c r="AC23" s="6"/>
      <c r="AD23" s="95"/>
      <c r="AE23" s="99"/>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row>
    <row r="24" spans="1:252" s="96" customFormat="1" ht="20.25" customHeight="1">
      <c r="A24" s="32" t="str">
        <f t="shared" si="0"/>
        <v>Sonntag</v>
      </c>
      <c r="B24" s="37">
        <f t="shared" si="2"/>
        <v>42981</v>
      </c>
      <c r="C24" s="185" t="str">
        <f>IF(OR(A24="Samstag",A24="Sonntag"),"",IF(COUNTIF(Übersicht!C$16:C$30,B24)&gt;0,"BA",""))</f>
        <v/>
      </c>
      <c r="D24" s="38"/>
      <c r="E24" s="172" t="str">
        <f t="shared" ref="E24:E52" si="4">IF(OR(A24="Samstag",A24="Sonntag",C24="BA"),"",
IF(C24="SV",D24,
IF(OR($E$17="",B24&lt;$E$17),IF($N$13=0,HLOOKUP($A24,$I$11:$M$12,2,FALSE),IF($N$13=$F$12,HLOOKUP($A24,$I$11:$M$13,3,FALSE),"FEHLER")),
IF($N$17=0,HLOOKUP($A24,$I$15:$M$16,2,FALSE),IF($N$17=$F$16,HLOOKUP($A24,$I$15:$M$17,3,FALSE),"FEHLER")))))</f>
        <v/>
      </c>
      <c r="F24" s="176"/>
      <c r="G24" s="177"/>
      <c r="H24" s="178"/>
      <c r="I24" s="38">
        <f t="shared" si="1"/>
        <v>0</v>
      </c>
      <c r="J24" s="35">
        <f t="shared" si="3"/>
        <v>0</v>
      </c>
      <c r="K24" s="36">
        <f t="shared" ref="K24:K52" si="5">SUM(K23,J24)</f>
        <v>-89.25</v>
      </c>
      <c r="L24" s="251"/>
      <c r="M24" s="252"/>
      <c r="N24" s="252"/>
      <c r="O24" s="252"/>
      <c r="P24" s="253"/>
      <c r="Q24" s="89"/>
      <c r="R24" s="165"/>
      <c r="S24" s="76"/>
      <c r="T24" s="76"/>
      <c r="U24" s="76"/>
      <c r="V24" s="76"/>
      <c r="W24" s="76"/>
      <c r="X24" s="76"/>
      <c r="Y24" s="76"/>
      <c r="Z24" s="76"/>
      <c r="AA24" s="68"/>
      <c r="AB24" s="166"/>
      <c r="AC24" s="6"/>
      <c r="AD24" s="95"/>
      <c r="AE24" s="99"/>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row>
    <row r="25" spans="1:252" s="96" customFormat="1" ht="20.25" customHeight="1">
      <c r="A25" s="32" t="str">
        <f t="shared" si="0"/>
        <v>Montag</v>
      </c>
      <c r="B25" s="37">
        <f t="shared" si="2"/>
        <v>42982</v>
      </c>
      <c r="C25" s="185" t="str">
        <f>IF(OR(A25="Samstag",A25="Sonntag"),"",IF(COUNTIF(Übersicht!C$16:C$30,B25)&gt;0,"BA",""))</f>
        <v/>
      </c>
      <c r="D25" s="38"/>
      <c r="E25" s="172">
        <f t="shared" si="4"/>
        <v>2</v>
      </c>
      <c r="F25" s="176"/>
      <c r="G25" s="177"/>
      <c r="H25" s="178"/>
      <c r="I25" s="38">
        <f t="shared" si="1"/>
        <v>0</v>
      </c>
      <c r="J25" s="35">
        <f t="shared" si="3"/>
        <v>-2</v>
      </c>
      <c r="K25" s="36">
        <f t="shared" si="5"/>
        <v>-91.25</v>
      </c>
      <c r="L25" s="251"/>
      <c r="M25" s="252"/>
      <c r="N25" s="252"/>
      <c r="O25" s="252"/>
      <c r="P25" s="253"/>
      <c r="Q25" s="89"/>
      <c r="R25" s="165"/>
      <c r="S25" s="76"/>
      <c r="T25" s="76"/>
      <c r="U25" s="76"/>
      <c r="V25" s="76"/>
      <c r="W25" s="76"/>
      <c r="X25" s="76"/>
      <c r="Y25" s="76"/>
      <c r="Z25" s="76"/>
      <c r="AA25" s="68"/>
      <c r="AB25" s="166"/>
      <c r="AC25" s="6"/>
      <c r="AD25" s="95"/>
      <c r="AE25" s="99"/>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row>
    <row r="26" spans="1:252" s="96" customFormat="1" ht="20.25" customHeight="1">
      <c r="A26" s="32" t="str">
        <f t="shared" si="0"/>
        <v>Dienstag</v>
      </c>
      <c r="B26" s="37">
        <f t="shared" si="2"/>
        <v>42983</v>
      </c>
      <c r="C26" s="185" t="str">
        <f>IF(OR(A26="Samstag",A26="Sonntag"),"",IF(COUNTIF(Übersicht!C$16:C$30,B26)&gt;0,"BA",""))</f>
        <v/>
      </c>
      <c r="D26" s="38"/>
      <c r="E26" s="172">
        <f t="shared" si="4"/>
        <v>2</v>
      </c>
      <c r="F26" s="176"/>
      <c r="G26" s="177"/>
      <c r="H26" s="178"/>
      <c r="I26" s="38">
        <f t="shared" si="1"/>
        <v>0</v>
      </c>
      <c r="J26" s="35">
        <f t="shared" si="3"/>
        <v>-2</v>
      </c>
      <c r="K26" s="36">
        <f t="shared" si="5"/>
        <v>-93.25</v>
      </c>
      <c r="L26" s="251"/>
      <c r="M26" s="252"/>
      <c r="N26" s="252"/>
      <c r="O26" s="252"/>
      <c r="P26" s="253"/>
      <c r="Q26" s="89"/>
      <c r="R26" s="165"/>
      <c r="S26" s="76"/>
      <c r="T26" s="76"/>
      <c r="U26" s="76"/>
      <c r="V26" s="76"/>
      <c r="W26" s="76"/>
      <c r="X26" s="76"/>
      <c r="Y26" s="76"/>
      <c r="Z26" s="76"/>
      <c r="AA26" s="68"/>
      <c r="AB26" s="166"/>
      <c r="AC26" s="6"/>
      <c r="AD26" s="95"/>
      <c r="AE26" s="99"/>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row>
    <row r="27" spans="1:252" s="96" customFormat="1" ht="20.25" customHeight="1">
      <c r="A27" s="32" t="str">
        <f t="shared" si="0"/>
        <v>Mittwoch</v>
      </c>
      <c r="B27" s="37">
        <f t="shared" si="2"/>
        <v>42984</v>
      </c>
      <c r="C27" s="185" t="str">
        <f>IF(OR(A27="Samstag",A27="Sonntag"),"",IF(COUNTIF(Übersicht!C$16:C$30,B27)&gt;0,"BA",""))</f>
        <v/>
      </c>
      <c r="D27" s="38"/>
      <c r="E27" s="172">
        <f t="shared" si="4"/>
        <v>2</v>
      </c>
      <c r="F27" s="176"/>
      <c r="G27" s="177"/>
      <c r="H27" s="178"/>
      <c r="I27" s="38">
        <f t="shared" si="1"/>
        <v>0</v>
      </c>
      <c r="J27" s="35">
        <f t="shared" si="3"/>
        <v>-2</v>
      </c>
      <c r="K27" s="36">
        <f>SUM(K26,J27)</f>
        <v>-95.25</v>
      </c>
      <c r="L27" s="251"/>
      <c r="M27" s="252"/>
      <c r="N27" s="252"/>
      <c r="O27" s="252"/>
      <c r="P27" s="253"/>
      <c r="Q27" s="89"/>
      <c r="R27" s="165"/>
      <c r="S27" s="76"/>
      <c r="T27" s="76"/>
      <c r="U27" s="76"/>
      <c r="V27" s="76"/>
      <c r="W27" s="76"/>
      <c r="X27" s="76"/>
      <c r="Y27" s="76"/>
      <c r="Z27" s="76"/>
      <c r="AA27" s="68"/>
      <c r="AB27" s="166"/>
      <c r="AC27" s="6"/>
      <c r="AD27" s="95"/>
      <c r="AE27" s="99"/>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row>
    <row r="28" spans="1:252" s="96" customFormat="1" ht="20.25" customHeight="1">
      <c r="A28" s="32" t="str">
        <f t="shared" si="0"/>
        <v>Donnerstag</v>
      </c>
      <c r="B28" s="37">
        <f t="shared" si="2"/>
        <v>42985</v>
      </c>
      <c r="C28" s="185" t="str">
        <f>IF(OR(A28="Samstag",A28="Sonntag"),"",IF(COUNTIF(Übersicht!C$16:C$30,B28)&gt;0,"BA",""))</f>
        <v/>
      </c>
      <c r="D28" s="38"/>
      <c r="E28" s="172">
        <f t="shared" si="4"/>
        <v>2</v>
      </c>
      <c r="F28" s="176"/>
      <c r="G28" s="177"/>
      <c r="H28" s="178"/>
      <c r="I28" s="38">
        <f t="shared" si="1"/>
        <v>0</v>
      </c>
      <c r="J28" s="35">
        <f t="shared" si="3"/>
        <v>-2</v>
      </c>
      <c r="K28" s="36">
        <f t="shared" si="5"/>
        <v>-97.25</v>
      </c>
      <c r="L28" s="251"/>
      <c r="M28" s="252"/>
      <c r="N28" s="252"/>
      <c r="O28" s="252"/>
      <c r="P28" s="253"/>
      <c r="Q28" s="89"/>
      <c r="R28" s="165"/>
      <c r="S28" s="76"/>
      <c r="T28" s="76"/>
      <c r="U28" s="76"/>
      <c r="V28" s="76"/>
      <c r="W28" s="76"/>
      <c r="X28" s="76"/>
      <c r="Y28" s="76"/>
      <c r="Z28" s="76"/>
      <c r="AA28" s="68"/>
      <c r="AB28" s="166"/>
      <c r="AC28" s="6"/>
      <c r="AD28" s="95"/>
      <c r="AE28" s="99"/>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row>
    <row r="29" spans="1:252" s="96" customFormat="1" ht="20.25" customHeight="1">
      <c r="A29" s="32" t="str">
        <f t="shared" si="0"/>
        <v>Freitag</v>
      </c>
      <c r="B29" s="37">
        <f t="shared" si="2"/>
        <v>42986</v>
      </c>
      <c r="C29" s="185" t="str">
        <f>IF(OR(A29="Samstag",A29="Sonntag"),"",IF(COUNTIF(Übersicht!C$16:C$30,B29)&gt;0,"BA",""))</f>
        <v/>
      </c>
      <c r="D29" s="38"/>
      <c r="E29" s="172">
        <f t="shared" si="4"/>
        <v>2</v>
      </c>
      <c r="F29" s="176"/>
      <c r="G29" s="177"/>
      <c r="H29" s="178"/>
      <c r="I29" s="38">
        <f t="shared" si="1"/>
        <v>0</v>
      </c>
      <c r="J29" s="35">
        <f t="shared" si="3"/>
        <v>-2</v>
      </c>
      <c r="K29" s="36">
        <f t="shared" si="5"/>
        <v>-99.25</v>
      </c>
      <c r="L29" s="251"/>
      <c r="M29" s="252"/>
      <c r="N29" s="252"/>
      <c r="O29" s="252"/>
      <c r="P29" s="253"/>
      <c r="Q29" s="89"/>
      <c r="R29" s="165"/>
      <c r="S29" s="76"/>
      <c r="T29" s="76"/>
      <c r="U29" s="76"/>
      <c r="V29" s="76"/>
      <c r="W29" s="76"/>
      <c r="X29" s="76"/>
      <c r="Y29" s="76"/>
      <c r="Z29" s="76"/>
      <c r="AA29" s="68"/>
      <c r="AB29" s="166"/>
      <c r="AC29" s="6"/>
      <c r="AD29" s="95"/>
      <c r="AE29" s="99"/>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row>
    <row r="30" spans="1:252" s="96" customFormat="1" ht="20.25" customHeight="1">
      <c r="A30" s="32" t="str">
        <f t="shared" si="0"/>
        <v>Samstag</v>
      </c>
      <c r="B30" s="37">
        <f t="shared" si="2"/>
        <v>42987</v>
      </c>
      <c r="C30" s="185" t="str">
        <f>IF(OR(A30="Samstag",A30="Sonntag"),"",IF(COUNTIF(Übersicht!C$16:C$30,B30)&gt;0,"BA",""))</f>
        <v/>
      </c>
      <c r="D30" s="38"/>
      <c r="E30" s="172" t="str">
        <f t="shared" si="4"/>
        <v/>
      </c>
      <c r="F30" s="176"/>
      <c r="G30" s="177"/>
      <c r="H30" s="178"/>
      <c r="I30" s="38">
        <f t="shared" si="1"/>
        <v>0</v>
      </c>
      <c r="J30" s="35">
        <f t="shared" si="3"/>
        <v>0</v>
      </c>
      <c r="K30" s="36">
        <f t="shared" si="5"/>
        <v>-99.25</v>
      </c>
      <c r="L30" s="251"/>
      <c r="M30" s="252"/>
      <c r="N30" s="252"/>
      <c r="O30" s="252"/>
      <c r="P30" s="253"/>
      <c r="Q30" s="89"/>
      <c r="R30" s="165"/>
      <c r="S30" s="76"/>
      <c r="T30" s="76"/>
      <c r="U30" s="76"/>
      <c r="V30" s="76"/>
      <c r="W30" s="76"/>
      <c r="X30" s="76"/>
      <c r="Y30" s="76"/>
      <c r="Z30" s="76"/>
      <c r="AA30" s="68"/>
      <c r="AB30" s="166"/>
      <c r="AC30" s="6"/>
      <c r="AD30" s="95"/>
      <c r="AE30" s="99"/>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row>
    <row r="31" spans="1:252" s="96" customFormat="1" ht="20.25" customHeight="1">
      <c r="A31" s="32" t="str">
        <f t="shared" si="0"/>
        <v>Sonntag</v>
      </c>
      <c r="B31" s="37">
        <f t="shared" si="2"/>
        <v>42988</v>
      </c>
      <c r="C31" s="185" t="str">
        <f>IF(OR(A31="Samstag",A31="Sonntag"),"",IF(COUNTIF(Übersicht!C$16:C$30,B31)&gt;0,"BA",""))</f>
        <v/>
      </c>
      <c r="D31" s="38"/>
      <c r="E31" s="172" t="str">
        <f t="shared" si="4"/>
        <v/>
      </c>
      <c r="F31" s="176"/>
      <c r="G31" s="177"/>
      <c r="H31" s="178"/>
      <c r="I31" s="38">
        <f t="shared" si="1"/>
        <v>0</v>
      </c>
      <c r="J31" s="35">
        <f t="shared" si="3"/>
        <v>0</v>
      </c>
      <c r="K31" s="36">
        <f t="shared" si="5"/>
        <v>-99.25</v>
      </c>
      <c r="L31" s="251"/>
      <c r="M31" s="252"/>
      <c r="N31" s="252"/>
      <c r="O31" s="252"/>
      <c r="P31" s="253"/>
      <c r="Q31" s="89"/>
      <c r="R31" s="165"/>
      <c r="S31" s="76"/>
      <c r="T31" s="76"/>
      <c r="U31" s="76"/>
      <c r="V31" s="76"/>
      <c r="W31" s="76"/>
      <c r="X31" s="76"/>
      <c r="Y31" s="76"/>
      <c r="Z31" s="76"/>
      <c r="AA31" s="68"/>
      <c r="AB31" s="166"/>
      <c r="AC31" s="6"/>
      <c r="AD31" s="95"/>
      <c r="AE31" s="99"/>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row>
    <row r="32" spans="1:252" s="96" customFormat="1" ht="20.25" customHeight="1">
      <c r="A32" s="32" t="str">
        <f t="shared" si="0"/>
        <v>Montag</v>
      </c>
      <c r="B32" s="37">
        <f t="shared" si="2"/>
        <v>42989</v>
      </c>
      <c r="C32" s="185" t="str">
        <f>IF(OR(A32="Samstag",A32="Sonntag"),"",IF(COUNTIF(Übersicht!C$16:C$30,B32)&gt;0,"BA",""))</f>
        <v/>
      </c>
      <c r="D32" s="38"/>
      <c r="E32" s="172">
        <f t="shared" si="4"/>
        <v>2</v>
      </c>
      <c r="F32" s="176"/>
      <c r="G32" s="177"/>
      <c r="H32" s="178"/>
      <c r="I32" s="38">
        <f t="shared" si="1"/>
        <v>0</v>
      </c>
      <c r="J32" s="35">
        <f t="shared" si="3"/>
        <v>-2</v>
      </c>
      <c r="K32" s="36">
        <f t="shared" si="5"/>
        <v>-101.25</v>
      </c>
      <c r="L32" s="251"/>
      <c r="M32" s="252"/>
      <c r="N32" s="252"/>
      <c r="O32" s="252"/>
      <c r="P32" s="253"/>
      <c r="Q32" s="89"/>
      <c r="R32" s="165"/>
      <c r="S32" s="76"/>
      <c r="T32" s="76"/>
      <c r="U32" s="76"/>
      <c r="V32" s="76"/>
      <c r="W32" s="76"/>
      <c r="X32" s="76"/>
      <c r="Y32" s="76"/>
      <c r="Z32" s="76"/>
      <c r="AA32" s="68"/>
      <c r="AB32" s="166"/>
      <c r="AC32" s="6"/>
      <c r="AD32" s="95"/>
      <c r="AE32" s="99"/>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row>
    <row r="33" spans="1:252" s="96" customFormat="1" ht="20.25" customHeight="1">
      <c r="A33" s="32" t="str">
        <f t="shared" si="0"/>
        <v>Dienstag</v>
      </c>
      <c r="B33" s="37">
        <f t="shared" si="2"/>
        <v>42990</v>
      </c>
      <c r="C33" s="185" t="str">
        <f>IF(OR(A33="Samstag",A33="Sonntag"),"",IF(COUNTIF(Übersicht!C$16:C$30,B33)&gt;0,"BA",""))</f>
        <v/>
      </c>
      <c r="D33" s="38"/>
      <c r="E33" s="172">
        <f t="shared" si="4"/>
        <v>2</v>
      </c>
      <c r="F33" s="176"/>
      <c r="G33" s="177"/>
      <c r="H33" s="178"/>
      <c r="I33" s="38">
        <f t="shared" si="1"/>
        <v>0</v>
      </c>
      <c r="J33" s="35">
        <f t="shared" si="3"/>
        <v>-2</v>
      </c>
      <c r="K33" s="36">
        <f t="shared" si="5"/>
        <v>-103.25</v>
      </c>
      <c r="L33" s="251"/>
      <c r="M33" s="252"/>
      <c r="N33" s="252"/>
      <c r="O33" s="252"/>
      <c r="P33" s="253"/>
      <c r="Q33" s="89"/>
      <c r="R33" s="165"/>
      <c r="S33" s="76"/>
      <c r="T33" s="76"/>
      <c r="U33" s="76"/>
      <c r="V33" s="76"/>
      <c r="W33" s="76"/>
      <c r="X33" s="76"/>
      <c r="Y33" s="76"/>
      <c r="Z33" s="76"/>
      <c r="AA33" s="68"/>
      <c r="AB33" s="166"/>
      <c r="AC33" s="6"/>
      <c r="AD33" s="95"/>
      <c r="AE33" s="99"/>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row>
    <row r="34" spans="1:252" s="96" customFormat="1" ht="20.25" customHeight="1">
      <c r="A34" s="32" t="str">
        <f t="shared" si="0"/>
        <v>Mittwoch</v>
      </c>
      <c r="B34" s="37">
        <f t="shared" si="2"/>
        <v>42991</v>
      </c>
      <c r="C34" s="185" t="str">
        <f>IF(OR(A34="Samstag",A34="Sonntag"),"",IF(COUNTIF(Übersicht!C$16:C$30,B34)&gt;0,"BA",""))</f>
        <v/>
      </c>
      <c r="D34" s="38"/>
      <c r="E34" s="172">
        <f t="shared" si="4"/>
        <v>2</v>
      </c>
      <c r="F34" s="176"/>
      <c r="G34" s="177"/>
      <c r="H34" s="178"/>
      <c r="I34" s="38">
        <f t="shared" si="1"/>
        <v>0</v>
      </c>
      <c r="J34" s="35">
        <f t="shared" si="3"/>
        <v>-2</v>
      </c>
      <c r="K34" s="36">
        <f t="shared" si="5"/>
        <v>-105.25</v>
      </c>
      <c r="L34" s="251"/>
      <c r="M34" s="252"/>
      <c r="N34" s="252"/>
      <c r="O34" s="252"/>
      <c r="P34" s="253"/>
      <c r="Q34" s="89"/>
      <c r="R34" s="165"/>
      <c r="S34" s="76"/>
      <c r="T34" s="76"/>
      <c r="U34" s="76"/>
      <c r="V34" s="76"/>
      <c r="W34" s="76"/>
      <c r="X34" s="76"/>
      <c r="Y34" s="76"/>
      <c r="Z34" s="76"/>
      <c r="AA34" s="68"/>
      <c r="AB34" s="166"/>
      <c r="AC34" s="6"/>
      <c r="AD34" s="95"/>
      <c r="AE34" s="99"/>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row>
    <row r="35" spans="1:252" s="96" customFormat="1" ht="20.25" customHeight="1">
      <c r="A35" s="32" t="str">
        <f t="shared" si="0"/>
        <v>Donnerstag</v>
      </c>
      <c r="B35" s="37">
        <f t="shared" si="2"/>
        <v>42992</v>
      </c>
      <c r="C35" s="185" t="str">
        <f>IF(OR(A35="Samstag",A35="Sonntag"),"",IF(COUNTIF(Übersicht!C$16:C$30,B35)&gt;0,"BA",""))</f>
        <v/>
      </c>
      <c r="D35" s="38"/>
      <c r="E35" s="172">
        <f t="shared" si="4"/>
        <v>2</v>
      </c>
      <c r="F35" s="176"/>
      <c r="G35" s="177"/>
      <c r="H35" s="178"/>
      <c r="I35" s="38">
        <f t="shared" si="1"/>
        <v>0</v>
      </c>
      <c r="J35" s="35">
        <f t="shared" si="3"/>
        <v>-2</v>
      </c>
      <c r="K35" s="36">
        <f t="shared" si="5"/>
        <v>-107.25</v>
      </c>
      <c r="L35" s="251"/>
      <c r="M35" s="252"/>
      <c r="N35" s="252"/>
      <c r="O35" s="252"/>
      <c r="P35" s="253"/>
      <c r="Q35" s="89"/>
      <c r="R35" s="165"/>
      <c r="S35" s="76"/>
      <c r="T35" s="76"/>
      <c r="U35" s="76"/>
      <c r="V35" s="76"/>
      <c r="W35" s="76"/>
      <c r="X35" s="76"/>
      <c r="Y35" s="76"/>
      <c r="Z35" s="76"/>
      <c r="AA35" s="68"/>
      <c r="AB35" s="166"/>
      <c r="AC35" s="6"/>
      <c r="AD35" s="95"/>
      <c r="AE35" s="99"/>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row>
    <row r="36" spans="1:252" s="96" customFormat="1" ht="20.25" customHeight="1">
      <c r="A36" s="32" t="str">
        <f t="shared" si="0"/>
        <v>Freitag</v>
      </c>
      <c r="B36" s="37">
        <f t="shared" si="2"/>
        <v>42993</v>
      </c>
      <c r="C36" s="185" t="str">
        <f>IF(OR(A36="Samstag",A36="Sonntag"),"",IF(COUNTIF(Übersicht!C$16:C$30,B36)&gt;0,"BA",""))</f>
        <v/>
      </c>
      <c r="D36" s="38"/>
      <c r="E36" s="172">
        <f t="shared" si="4"/>
        <v>2</v>
      </c>
      <c r="F36" s="176"/>
      <c r="G36" s="177"/>
      <c r="H36" s="178"/>
      <c r="I36" s="38">
        <f t="shared" si="1"/>
        <v>0</v>
      </c>
      <c r="J36" s="35">
        <f t="shared" si="3"/>
        <v>-2</v>
      </c>
      <c r="K36" s="36">
        <f t="shared" si="5"/>
        <v>-109.25</v>
      </c>
      <c r="L36" s="251"/>
      <c r="M36" s="252"/>
      <c r="N36" s="252"/>
      <c r="O36" s="252"/>
      <c r="P36" s="253"/>
      <c r="Q36" s="89"/>
      <c r="R36" s="165"/>
      <c r="S36" s="76"/>
      <c r="T36" s="76"/>
      <c r="U36" s="76"/>
      <c r="V36" s="76"/>
      <c r="W36" s="76"/>
      <c r="X36" s="76"/>
      <c r="Y36" s="76"/>
      <c r="Z36" s="76"/>
      <c r="AA36" s="68"/>
      <c r="AB36" s="166"/>
      <c r="AC36" s="6"/>
      <c r="AD36" s="95"/>
      <c r="AE36" s="99"/>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row>
    <row r="37" spans="1:252" s="96" customFormat="1" ht="20.25" customHeight="1">
      <c r="A37" s="32" t="str">
        <f t="shared" si="0"/>
        <v>Samstag</v>
      </c>
      <c r="B37" s="37">
        <f t="shared" si="2"/>
        <v>42994</v>
      </c>
      <c r="C37" s="185" t="str">
        <f>IF(OR(A37="Samstag",A37="Sonntag"),"",IF(COUNTIF(Übersicht!C$16:C$30,B37)&gt;0,"BA",""))</f>
        <v/>
      </c>
      <c r="D37" s="38"/>
      <c r="E37" s="172" t="str">
        <f t="shared" si="4"/>
        <v/>
      </c>
      <c r="F37" s="176"/>
      <c r="G37" s="177"/>
      <c r="H37" s="178"/>
      <c r="I37" s="38">
        <f t="shared" si="1"/>
        <v>0</v>
      </c>
      <c r="J37" s="35">
        <f t="shared" si="3"/>
        <v>0</v>
      </c>
      <c r="K37" s="36">
        <f t="shared" si="5"/>
        <v>-109.25</v>
      </c>
      <c r="L37" s="251"/>
      <c r="M37" s="252"/>
      <c r="N37" s="252"/>
      <c r="O37" s="252"/>
      <c r="P37" s="253"/>
      <c r="Q37" s="89"/>
      <c r="R37" s="165"/>
      <c r="S37" s="76"/>
      <c r="T37" s="76"/>
      <c r="U37" s="76"/>
      <c r="V37" s="76"/>
      <c r="W37" s="76"/>
      <c r="X37" s="76"/>
      <c r="Y37" s="76"/>
      <c r="Z37" s="76"/>
      <c r="AA37" s="68"/>
      <c r="AB37" s="166"/>
      <c r="AC37" s="6"/>
      <c r="AD37" s="95"/>
      <c r="AE37" s="99"/>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row>
    <row r="38" spans="1:252" s="96" customFormat="1" ht="20.25" customHeight="1">
      <c r="A38" s="32" t="str">
        <f t="shared" si="0"/>
        <v>Sonntag</v>
      </c>
      <c r="B38" s="37">
        <f t="shared" si="2"/>
        <v>42995</v>
      </c>
      <c r="C38" s="185" t="str">
        <f>IF(OR(A38="Samstag",A38="Sonntag"),"",IF(COUNTIF(Übersicht!C$16:C$30,B38)&gt;0,"BA",""))</f>
        <v/>
      </c>
      <c r="D38" s="38"/>
      <c r="E38" s="172" t="str">
        <f t="shared" si="4"/>
        <v/>
      </c>
      <c r="F38" s="176"/>
      <c r="G38" s="177"/>
      <c r="H38" s="178"/>
      <c r="I38" s="38">
        <f t="shared" si="1"/>
        <v>0</v>
      </c>
      <c r="J38" s="35">
        <f t="shared" si="3"/>
        <v>0</v>
      </c>
      <c r="K38" s="36">
        <f t="shared" si="5"/>
        <v>-109.25</v>
      </c>
      <c r="L38" s="251"/>
      <c r="M38" s="252"/>
      <c r="N38" s="252"/>
      <c r="O38" s="252"/>
      <c r="P38" s="253"/>
      <c r="Q38" s="89"/>
      <c r="R38" s="165"/>
      <c r="S38" s="76"/>
      <c r="T38" s="76"/>
      <c r="U38" s="76"/>
      <c r="V38" s="76"/>
      <c r="W38" s="76"/>
      <c r="X38" s="76"/>
      <c r="Y38" s="76"/>
      <c r="Z38" s="76"/>
      <c r="AA38" s="68"/>
      <c r="AB38" s="166"/>
      <c r="AC38" s="6"/>
      <c r="AD38" s="95"/>
      <c r="AE38" s="99"/>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row>
    <row r="39" spans="1:252" s="96" customFormat="1" ht="20.25" customHeight="1">
      <c r="A39" s="32" t="str">
        <f t="shared" si="0"/>
        <v>Montag</v>
      </c>
      <c r="B39" s="37">
        <f t="shared" si="2"/>
        <v>42996</v>
      </c>
      <c r="C39" s="185" t="str">
        <f>IF(OR(A39="Samstag",A39="Sonntag"),"",IF(COUNTIF(Übersicht!C$16:C$30,B39)&gt;0,"BA",""))</f>
        <v/>
      </c>
      <c r="D39" s="38"/>
      <c r="E39" s="172">
        <f t="shared" si="4"/>
        <v>2</v>
      </c>
      <c r="F39" s="176"/>
      <c r="G39" s="177"/>
      <c r="H39" s="178"/>
      <c r="I39" s="38">
        <f t="shared" si="1"/>
        <v>0</v>
      </c>
      <c r="J39" s="35">
        <f t="shared" si="3"/>
        <v>-2</v>
      </c>
      <c r="K39" s="36">
        <f t="shared" si="5"/>
        <v>-111.25</v>
      </c>
      <c r="L39" s="251"/>
      <c r="M39" s="252"/>
      <c r="N39" s="252"/>
      <c r="O39" s="252"/>
      <c r="P39" s="253"/>
      <c r="Q39" s="89"/>
      <c r="R39" s="165"/>
      <c r="S39" s="76"/>
      <c r="T39" s="76"/>
      <c r="U39" s="76"/>
      <c r="V39" s="76"/>
      <c r="W39" s="76"/>
      <c r="X39" s="76"/>
      <c r="Y39" s="76"/>
      <c r="Z39" s="76"/>
      <c r="AA39" s="68"/>
      <c r="AB39" s="166"/>
      <c r="AC39" s="6"/>
      <c r="AD39" s="95"/>
      <c r="AE39" s="99"/>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row>
    <row r="40" spans="1:252" s="96" customFormat="1" ht="20.25" customHeight="1">
      <c r="A40" s="32" t="str">
        <f t="shared" si="0"/>
        <v>Dienstag</v>
      </c>
      <c r="B40" s="37">
        <f t="shared" si="2"/>
        <v>42997</v>
      </c>
      <c r="C40" s="185" t="str">
        <f>IF(OR(A40="Samstag",A40="Sonntag"),"",IF(COUNTIF(Übersicht!C$16:C$30,B40)&gt;0,"BA",""))</f>
        <v/>
      </c>
      <c r="D40" s="38"/>
      <c r="E40" s="172">
        <f t="shared" si="4"/>
        <v>2</v>
      </c>
      <c r="F40" s="176"/>
      <c r="G40" s="177"/>
      <c r="H40" s="178"/>
      <c r="I40" s="38">
        <f t="shared" si="1"/>
        <v>0</v>
      </c>
      <c r="J40" s="35">
        <f t="shared" si="3"/>
        <v>-2</v>
      </c>
      <c r="K40" s="36">
        <f t="shared" si="5"/>
        <v>-113.25</v>
      </c>
      <c r="L40" s="251"/>
      <c r="M40" s="252"/>
      <c r="N40" s="252"/>
      <c r="O40" s="252"/>
      <c r="P40" s="253"/>
      <c r="Q40" s="89"/>
      <c r="R40" s="165"/>
      <c r="S40" s="76"/>
      <c r="T40" s="76"/>
      <c r="U40" s="76"/>
      <c r="V40" s="76"/>
      <c r="W40" s="76"/>
      <c r="X40" s="76"/>
      <c r="Y40" s="76"/>
      <c r="Z40" s="76"/>
      <c r="AA40" s="68"/>
      <c r="AB40" s="166"/>
      <c r="AC40" s="6"/>
      <c r="AD40" s="95"/>
      <c r="AE40" s="99"/>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row>
    <row r="41" spans="1:252" s="96" customFormat="1" ht="20.25" customHeight="1">
      <c r="A41" s="32" t="str">
        <f t="shared" si="0"/>
        <v>Mittwoch</v>
      </c>
      <c r="B41" s="37">
        <f t="shared" si="2"/>
        <v>42998</v>
      </c>
      <c r="C41" s="185" t="str">
        <f>IF(OR(A41="Samstag",A41="Sonntag"),"",IF(COUNTIF(Übersicht!C$16:C$30,B41)&gt;0,"BA",""))</f>
        <v/>
      </c>
      <c r="D41" s="38"/>
      <c r="E41" s="172">
        <f t="shared" si="4"/>
        <v>2</v>
      </c>
      <c r="F41" s="176"/>
      <c r="G41" s="177"/>
      <c r="H41" s="178"/>
      <c r="I41" s="38">
        <f t="shared" si="1"/>
        <v>0</v>
      </c>
      <c r="J41" s="35">
        <f t="shared" si="3"/>
        <v>-2</v>
      </c>
      <c r="K41" s="36">
        <f t="shared" si="5"/>
        <v>-115.25</v>
      </c>
      <c r="L41" s="251"/>
      <c r="M41" s="252"/>
      <c r="N41" s="252"/>
      <c r="O41" s="252"/>
      <c r="P41" s="253"/>
      <c r="Q41" s="89"/>
      <c r="R41" s="165"/>
      <c r="S41" s="76"/>
      <c r="T41" s="76"/>
      <c r="U41" s="76"/>
      <c r="V41" s="76"/>
      <c r="W41" s="76"/>
      <c r="X41" s="76"/>
      <c r="Y41" s="76"/>
      <c r="Z41" s="76"/>
      <c r="AA41" s="68"/>
      <c r="AB41" s="166"/>
      <c r="AC41" s="6"/>
      <c r="AD41" s="95"/>
      <c r="AE41" s="99"/>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row>
    <row r="42" spans="1:252" s="96" customFormat="1" ht="20.25" customHeight="1">
      <c r="A42" s="32" t="str">
        <f t="shared" si="0"/>
        <v>Donnerstag</v>
      </c>
      <c r="B42" s="37">
        <f t="shared" si="2"/>
        <v>42999</v>
      </c>
      <c r="C42" s="185" t="str">
        <f>IF(OR(A42="Samstag",A42="Sonntag"),"",IF(COUNTIF(Übersicht!C$16:C$30,B42)&gt;0,"BA",""))</f>
        <v/>
      </c>
      <c r="D42" s="38"/>
      <c r="E42" s="172">
        <f t="shared" si="4"/>
        <v>2</v>
      </c>
      <c r="F42" s="176"/>
      <c r="G42" s="177"/>
      <c r="H42" s="178"/>
      <c r="I42" s="38">
        <f t="shared" si="1"/>
        <v>0</v>
      </c>
      <c r="J42" s="35">
        <f t="shared" si="3"/>
        <v>-2</v>
      </c>
      <c r="K42" s="36">
        <f t="shared" si="5"/>
        <v>-117.25</v>
      </c>
      <c r="L42" s="251"/>
      <c r="M42" s="252"/>
      <c r="N42" s="252"/>
      <c r="O42" s="252"/>
      <c r="P42" s="253"/>
      <c r="Q42" s="89"/>
      <c r="R42" s="165"/>
      <c r="S42" s="76"/>
      <c r="T42" s="76"/>
      <c r="U42" s="76"/>
      <c r="V42" s="76"/>
      <c r="W42" s="76"/>
      <c r="X42" s="76"/>
      <c r="Y42" s="76"/>
      <c r="Z42" s="76"/>
      <c r="AA42" s="68"/>
      <c r="AB42" s="166"/>
      <c r="AC42" s="6"/>
      <c r="AD42" s="95"/>
      <c r="AE42" s="99"/>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row>
    <row r="43" spans="1:252" s="96" customFormat="1" ht="20.25" customHeight="1">
      <c r="A43" s="32" t="str">
        <f t="shared" si="0"/>
        <v>Freitag</v>
      </c>
      <c r="B43" s="37">
        <f t="shared" si="2"/>
        <v>43000</v>
      </c>
      <c r="C43" s="185" t="str">
        <f>IF(OR(A43="Samstag",A43="Sonntag"),"",IF(COUNTIF(Übersicht!C$16:C$30,B43)&gt;0,"BA",""))</f>
        <v/>
      </c>
      <c r="D43" s="38"/>
      <c r="E43" s="172">
        <f t="shared" si="4"/>
        <v>2</v>
      </c>
      <c r="F43" s="176"/>
      <c r="G43" s="177"/>
      <c r="H43" s="178"/>
      <c r="I43" s="38">
        <f t="shared" si="1"/>
        <v>0</v>
      </c>
      <c r="J43" s="35">
        <f t="shared" si="3"/>
        <v>-2</v>
      </c>
      <c r="K43" s="36">
        <f t="shared" si="5"/>
        <v>-119.25</v>
      </c>
      <c r="L43" s="251"/>
      <c r="M43" s="252"/>
      <c r="N43" s="252"/>
      <c r="O43" s="252"/>
      <c r="P43" s="253"/>
      <c r="Q43" s="89"/>
      <c r="R43" s="165"/>
      <c r="S43" s="76"/>
      <c r="T43" s="76"/>
      <c r="U43" s="76"/>
      <c r="V43" s="76"/>
      <c r="W43" s="76"/>
      <c r="X43" s="76"/>
      <c r="Y43" s="76"/>
      <c r="Z43" s="76"/>
      <c r="AA43" s="68"/>
      <c r="AB43" s="166"/>
      <c r="AC43" s="6"/>
      <c r="AD43" s="95"/>
      <c r="AE43" s="99"/>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row>
    <row r="44" spans="1:252" s="96" customFormat="1" ht="20.25" customHeight="1">
      <c r="A44" s="32" t="str">
        <f t="shared" si="0"/>
        <v>Samstag</v>
      </c>
      <c r="B44" s="37">
        <f t="shared" si="2"/>
        <v>43001</v>
      </c>
      <c r="C44" s="185" t="str">
        <f>IF(OR(A44="Samstag",A44="Sonntag"),"",IF(COUNTIF(Übersicht!C$16:C$30,B44)&gt;0,"BA",""))</f>
        <v/>
      </c>
      <c r="D44" s="38"/>
      <c r="E44" s="172" t="str">
        <f t="shared" si="4"/>
        <v/>
      </c>
      <c r="F44" s="176"/>
      <c r="G44" s="177"/>
      <c r="H44" s="178"/>
      <c r="I44" s="38">
        <f t="shared" si="1"/>
        <v>0</v>
      </c>
      <c r="J44" s="35">
        <f t="shared" si="3"/>
        <v>0</v>
      </c>
      <c r="K44" s="36">
        <f t="shared" si="5"/>
        <v>-119.25</v>
      </c>
      <c r="L44" s="251"/>
      <c r="M44" s="252"/>
      <c r="N44" s="252"/>
      <c r="O44" s="252"/>
      <c r="P44" s="253"/>
      <c r="Q44" s="89"/>
      <c r="R44" s="165"/>
      <c r="S44" s="76"/>
      <c r="T44" s="76"/>
      <c r="U44" s="76"/>
      <c r="V44" s="76"/>
      <c r="W44" s="76"/>
      <c r="X44" s="76"/>
      <c r="Y44" s="76"/>
      <c r="Z44" s="76"/>
      <c r="AA44" s="68"/>
      <c r="AB44" s="166"/>
      <c r="AC44" s="6"/>
      <c r="AD44" s="95"/>
      <c r="AE44" s="99"/>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row>
    <row r="45" spans="1:252" s="96" customFormat="1" ht="20.25" customHeight="1">
      <c r="A45" s="32" t="str">
        <f t="shared" si="0"/>
        <v>Sonntag</v>
      </c>
      <c r="B45" s="37">
        <f t="shared" si="2"/>
        <v>43002</v>
      </c>
      <c r="C45" s="185" t="str">
        <f>IF(OR(A45="Samstag",A45="Sonntag"),"",IF(COUNTIF(Übersicht!C$16:C$30,B45)&gt;0,"BA",""))</f>
        <v/>
      </c>
      <c r="D45" s="38"/>
      <c r="E45" s="172" t="str">
        <f t="shared" si="4"/>
        <v/>
      </c>
      <c r="F45" s="176"/>
      <c r="G45" s="177"/>
      <c r="H45" s="178"/>
      <c r="I45" s="38">
        <f t="shared" si="1"/>
        <v>0</v>
      </c>
      <c r="J45" s="35">
        <f t="shared" si="3"/>
        <v>0</v>
      </c>
      <c r="K45" s="36">
        <f t="shared" si="5"/>
        <v>-119.25</v>
      </c>
      <c r="L45" s="251"/>
      <c r="M45" s="252"/>
      <c r="N45" s="252"/>
      <c r="O45" s="252"/>
      <c r="P45" s="253"/>
      <c r="Q45" s="89"/>
      <c r="R45" s="165"/>
      <c r="S45" s="76"/>
      <c r="T45" s="76"/>
      <c r="U45" s="76"/>
      <c r="V45" s="76"/>
      <c r="W45" s="76"/>
      <c r="X45" s="76"/>
      <c r="Y45" s="76"/>
      <c r="Z45" s="76"/>
      <c r="AA45" s="68"/>
      <c r="AB45" s="166"/>
      <c r="AC45" s="6"/>
      <c r="AD45" s="95"/>
      <c r="AE45" s="99"/>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row>
    <row r="46" spans="1:252" s="96" customFormat="1" ht="20.25" customHeight="1">
      <c r="A46" s="32" t="str">
        <f t="shared" si="0"/>
        <v>Montag</v>
      </c>
      <c r="B46" s="37">
        <f t="shared" si="2"/>
        <v>43003</v>
      </c>
      <c r="C46" s="185" t="str">
        <f>IF(OR(A46="Samstag",A46="Sonntag"),"",IF(COUNTIF(Übersicht!C$16:C$30,B46)&gt;0,"BA",""))</f>
        <v/>
      </c>
      <c r="D46" s="38"/>
      <c r="E46" s="172">
        <f t="shared" si="4"/>
        <v>2</v>
      </c>
      <c r="F46" s="176"/>
      <c r="G46" s="177"/>
      <c r="H46" s="178"/>
      <c r="I46" s="38">
        <f t="shared" si="1"/>
        <v>0</v>
      </c>
      <c r="J46" s="35">
        <f t="shared" si="3"/>
        <v>-2</v>
      </c>
      <c r="K46" s="36">
        <f t="shared" si="5"/>
        <v>-121.25</v>
      </c>
      <c r="L46" s="251"/>
      <c r="M46" s="252"/>
      <c r="N46" s="252"/>
      <c r="O46" s="252"/>
      <c r="P46" s="253"/>
      <c r="Q46" s="89"/>
      <c r="R46" s="165"/>
      <c r="S46" s="76"/>
      <c r="T46" s="76"/>
      <c r="U46" s="76"/>
      <c r="V46" s="76"/>
      <c r="W46" s="76"/>
      <c r="X46" s="76"/>
      <c r="Y46" s="76"/>
      <c r="Z46" s="76"/>
      <c r="AA46" s="68"/>
      <c r="AB46" s="166"/>
      <c r="AC46" s="6"/>
      <c r="AD46" s="95"/>
      <c r="AE46" s="99"/>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row>
    <row r="47" spans="1:252" s="96" customFormat="1" ht="20.25" customHeight="1">
      <c r="A47" s="32" t="str">
        <f t="shared" si="0"/>
        <v>Dienstag</v>
      </c>
      <c r="B47" s="37">
        <f t="shared" si="2"/>
        <v>43004</v>
      </c>
      <c r="C47" s="185" t="str">
        <f>IF(OR(A47="Samstag",A47="Sonntag"),"",IF(COUNTIF(Übersicht!C$16:C$30,B47)&gt;0,"BA",""))</f>
        <v/>
      </c>
      <c r="D47" s="38"/>
      <c r="E47" s="172">
        <f t="shared" si="4"/>
        <v>2</v>
      </c>
      <c r="F47" s="176"/>
      <c r="G47" s="177"/>
      <c r="H47" s="178"/>
      <c r="I47" s="38">
        <f t="shared" si="1"/>
        <v>0</v>
      </c>
      <c r="J47" s="35">
        <f t="shared" si="3"/>
        <v>-2</v>
      </c>
      <c r="K47" s="36">
        <f t="shared" si="5"/>
        <v>-123.25</v>
      </c>
      <c r="L47" s="251"/>
      <c r="M47" s="252"/>
      <c r="N47" s="252"/>
      <c r="O47" s="252"/>
      <c r="P47" s="253"/>
      <c r="Q47" s="89"/>
      <c r="R47" s="165"/>
      <c r="S47" s="76"/>
      <c r="T47" s="76"/>
      <c r="U47" s="76"/>
      <c r="V47" s="76"/>
      <c r="W47" s="76"/>
      <c r="X47" s="76"/>
      <c r="Y47" s="76"/>
      <c r="Z47" s="76"/>
      <c r="AA47" s="68"/>
      <c r="AB47" s="166"/>
      <c r="AC47" s="6"/>
      <c r="AD47" s="95"/>
      <c r="AE47" s="99"/>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row>
    <row r="48" spans="1:252" s="96" customFormat="1" ht="20.25" customHeight="1">
      <c r="A48" s="32" t="str">
        <f t="shared" si="0"/>
        <v>Mittwoch</v>
      </c>
      <c r="B48" s="37">
        <f t="shared" si="2"/>
        <v>43005</v>
      </c>
      <c r="C48" s="185" t="str">
        <f>IF(OR(A48="Samstag",A48="Sonntag"),"",IF(COUNTIF(Übersicht!C$16:C$30,B48)&gt;0,"BA",""))</f>
        <v/>
      </c>
      <c r="D48" s="38"/>
      <c r="E48" s="172">
        <f t="shared" si="4"/>
        <v>2</v>
      </c>
      <c r="F48" s="176"/>
      <c r="G48" s="177"/>
      <c r="H48" s="178"/>
      <c r="I48" s="38">
        <f t="shared" si="1"/>
        <v>0</v>
      </c>
      <c r="J48" s="35">
        <f t="shared" si="3"/>
        <v>-2</v>
      </c>
      <c r="K48" s="36">
        <f t="shared" si="5"/>
        <v>-125.25</v>
      </c>
      <c r="L48" s="251"/>
      <c r="M48" s="252"/>
      <c r="N48" s="252"/>
      <c r="O48" s="252"/>
      <c r="P48" s="253"/>
      <c r="Q48" s="89"/>
      <c r="R48" s="165"/>
      <c r="S48" s="76"/>
      <c r="T48" s="76"/>
      <c r="U48" s="76"/>
      <c r="V48" s="76"/>
      <c r="W48" s="76"/>
      <c r="X48" s="76"/>
      <c r="Y48" s="76"/>
      <c r="Z48" s="76"/>
      <c r="AA48" s="68"/>
      <c r="AB48" s="166"/>
      <c r="AC48" s="6"/>
      <c r="AD48" s="95"/>
      <c r="AE48" s="99"/>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row>
    <row r="49" spans="1:252" s="96" customFormat="1" ht="20.25" customHeight="1">
      <c r="A49" s="32" t="str">
        <f t="shared" si="0"/>
        <v>Donnerstag</v>
      </c>
      <c r="B49" s="37">
        <f t="shared" si="2"/>
        <v>43006</v>
      </c>
      <c r="C49" s="185" t="str">
        <f>IF(OR(A49="Samstag",A49="Sonntag"),"",IF(COUNTIF(Übersicht!C$16:C$30,B49)&gt;0,"BA",""))</f>
        <v/>
      </c>
      <c r="D49" s="38"/>
      <c r="E49" s="172">
        <f t="shared" si="4"/>
        <v>2</v>
      </c>
      <c r="F49" s="176"/>
      <c r="G49" s="177"/>
      <c r="H49" s="178"/>
      <c r="I49" s="38">
        <f t="shared" si="1"/>
        <v>0</v>
      </c>
      <c r="J49" s="35">
        <f t="shared" si="3"/>
        <v>-2</v>
      </c>
      <c r="K49" s="36">
        <f t="shared" si="5"/>
        <v>-127.25</v>
      </c>
      <c r="L49" s="251"/>
      <c r="M49" s="252"/>
      <c r="N49" s="252"/>
      <c r="O49" s="252"/>
      <c r="P49" s="253"/>
      <c r="Q49" s="89"/>
      <c r="R49" s="165"/>
      <c r="S49" s="76"/>
      <c r="T49" s="76"/>
      <c r="U49" s="76"/>
      <c r="V49" s="76"/>
      <c r="W49" s="76"/>
      <c r="X49" s="76"/>
      <c r="Y49" s="76"/>
      <c r="Z49" s="76"/>
      <c r="AA49" s="68"/>
      <c r="AB49" s="166"/>
      <c r="AC49" s="6"/>
      <c r="AD49" s="95"/>
      <c r="AE49" s="99"/>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row>
    <row r="50" spans="1:252" s="96" customFormat="1" ht="20.25" customHeight="1">
      <c r="A50" s="32" t="str">
        <f t="shared" si="0"/>
        <v>Freitag</v>
      </c>
      <c r="B50" s="37">
        <f t="shared" si="2"/>
        <v>43007</v>
      </c>
      <c r="C50" s="185" t="str">
        <f>IF(OR(A50="Samstag",A50="Sonntag"),"",IF(COUNTIF(Übersicht!C$16:C$30,B50)&gt;0,"BA",""))</f>
        <v/>
      </c>
      <c r="D50" s="38"/>
      <c r="E50" s="172">
        <f t="shared" si="4"/>
        <v>2</v>
      </c>
      <c r="F50" s="176"/>
      <c r="G50" s="177"/>
      <c r="H50" s="178"/>
      <c r="I50" s="38">
        <f t="shared" si="1"/>
        <v>0</v>
      </c>
      <c r="J50" s="35">
        <f t="shared" si="3"/>
        <v>-2</v>
      </c>
      <c r="K50" s="36">
        <f t="shared" si="5"/>
        <v>-129.25</v>
      </c>
      <c r="L50" s="251"/>
      <c r="M50" s="252"/>
      <c r="N50" s="252"/>
      <c r="O50" s="252"/>
      <c r="P50" s="253"/>
      <c r="Q50" s="89"/>
      <c r="R50" s="165"/>
      <c r="S50" s="76"/>
      <c r="T50" s="76"/>
      <c r="U50" s="76"/>
      <c r="V50" s="76"/>
      <c r="W50" s="76"/>
      <c r="X50" s="76"/>
      <c r="Y50" s="76"/>
      <c r="Z50" s="76"/>
      <c r="AA50" s="68"/>
      <c r="AB50" s="166"/>
      <c r="AC50" s="6"/>
      <c r="AD50" s="95"/>
      <c r="AE50" s="99"/>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row>
    <row r="51" spans="1:252" s="96" customFormat="1" ht="20.25" customHeight="1">
      <c r="A51" s="32" t="str">
        <f t="shared" si="0"/>
        <v>Samstag</v>
      </c>
      <c r="B51" s="37">
        <f t="shared" si="2"/>
        <v>43008</v>
      </c>
      <c r="C51" s="185" t="str">
        <f>IF(OR(A51="Samstag",A51="Sonntag"),"",IF(COUNTIF(Übersicht!C$16:C$30,B51)&gt;0,"BA",""))</f>
        <v/>
      </c>
      <c r="D51" s="38"/>
      <c r="E51" s="172" t="str">
        <f t="shared" si="4"/>
        <v/>
      </c>
      <c r="F51" s="176"/>
      <c r="G51" s="177"/>
      <c r="H51" s="178"/>
      <c r="I51" s="38">
        <f t="shared" si="1"/>
        <v>0</v>
      </c>
      <c r="J51" s="35">
        <f t="shared" si="3"/>
        <v>0</v>
      </c>
      <c r="K51" s="36">
        <f t="shared" si="5"/>
        <v>-129.25</v>
      </c>
      <c r="L51" s="251"/>
      <c r="M51" s="252"/>
      <c r="N51" s="252"/>
      <c r="O51" s="252"/>
      <c r="P51" s="253"/>
      <c r="Q51" s="89"/>
      <c r="R51" s="165"/>
      <c r="S51" s="76"/>
      <c r="T51" s="76"/>
      <c r="U51" s="76"/>
      <c r="V51" s="76"/>
      <c r="W51" s="76"/>
      <c r="X51" s="76"/>
      <c r="Y51" s="76"/>
      <c r="Z51" s="76"/>
      <c r="AA51" s="68"/>
      <c r="AB51" s="166"/>
      <c r="AC51" s="6"/>
      <c r="AD51" s="95"/>
      <c r="AE51" s="99"/>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row>
    <row r="52" spans="1:252" s="96" customFormat="1" ht="20.25" customHeight="1" thickBot="1">
      <c r="A52" s="32" t="str">
        <f t="shared" si="0"/>
        <v>Samstag</v>
      </c>
      <c r="B52" s="37">
        <f t="shared" si="2"/>
        <v>0</v>
      </c>
      <c r="C52" s="185" t="str">
        <f>IF(OR(A52="Samstag",A52="Sonntag"),"",IF(COUNTIF(Übersicht!C$16:C$30,B52)&gt;0,"BA",""))</f>
        <v/>
      </c>
      <c r="D52" s="39"/>
      <c r="E52" s="172" t="str">
        <f t="shared" si="4"/>
        <v/>
      </c>
      <c r="F52" s="198"/>
      <c r="G52" s="199"/>
      <c r="H52" s="200"/>
      <c r="I52" s="38">
        <f t="shared" si="1"/>
        <v>0</v>
      </c>
      <c r="J52" s="35">
        <f t="shared" si="3"/>
        <v>0</v>
      </c>
      <c r="K52" s="40">
        <f t="shared" si="5"/>
        <v>-129.25</v>
      </c>
      <c r="L52" s="282"/>
      <c r="M52" s="283"/>
      <c r="N52" s="283"/>
      <c r="O52" s="283"/>
      <c r="P52" s="284"/>
      <c r="Q52" s="89"/>
      <c r="R52" s="165"/>
      <c r="S52" s="77"/>
      <c r="T52" s="77"/>
      <c r="U52" s="77"/>
      <c r="V52" s="77"/>
      <c r="W52" s="77"/>
      <c r="X52" s="77"/>
      <c r="Y52" s="77"/>
      <c r="Z52" s="78"/>
      <c r="AA52" s="68"/>
      <c r="AB52" s="166"/>
      <c r="AC52" s="6"/>
      <c r="AD52" s="95"/>
      <c r="AE52" s="99"/>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row>
    <row r="53" spans="1:252" s="96" customFormat="1" ht="18.75" customHeight="1">
      <c r="A53" s="6"/>
      <c r="B53" s="41" t="s">
        <v>26</v>
      </c>
      <c r="C53" s="42"/>
      <c r="D53" s="43"/>
      <c r="E53" s="43" t="s">
        <v>11</v>
      </c>
      <c r="F53" s="44"/>
      <c r="G53" s="44"/>
      <c r="H53" s="44"/>
      <c r="I53" s="43" t="s">
        <v>20</v>
      </c>
      <c r="J53" s="43" t="s">
        <v>28</v>
      </c>
      <c r="K53" s="43" t="s">
        <v>27</v>
      </c>
      <c r="L53" s="45"/>
      <c r="M53" s="45"/>
      <c r="N53" s="45"/>
      <c r="O53" s="45"/>
      <c r="P53" s="46"/>
      <c r="Q53" s="160"/>
      <c r="R53" s="160"/>
      <c r="S53" s="76"/>
      <c r="T53" s="183"/>
      <c r="U53" s="79"/>
      <c r="V53" s="6"/>
      <c r="W53" s="78"/>
      <c r="X53" s="76"/>
      <c r="Y53" s="80"/>
      <c r="Z53" s="80"/>
      <c r="AA53" s="68"/>
      <c r="AB53" s="68"/>
      <c r="AC53" s="6"/>
      <c r="AD53" s="95"/>
      <c r="AE53" s="99"/>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row>
    <row r="54" spans="1:252" s="96" customFormat="1" ht="18.75" customHeight="1">
      <c r="A54" s="6"/>
      <c r="B54" s="47"/>
      <c r="C54" s="48"/>
      <c r="D54" s="49"/>
      <c r="E54" s="50">
        <f>SUM(E22:E52)</f>
        <v>42</v>
      </c>
      <c r="F54" s="51"/>
      <c r="G54" s="52"/>
      <c r="H54" s="49"/>
      <c r="I54" s="50">
        <f>SUM(I22:I52)</f>
        <v>0</v>
      </c>
      <c r="J54" s="50">
        <f>SUM(J22:J52)</f>
        <v>-42</v>
      </c>
      <c r="K54" s="50">
        <f>K52</f>
        <v>-129.25</v>
      </c>
      <c r="L54" s="91"/>
      <c r="M54" s="91"/>
      <c r="N54" s="91"/>
      <c r="O54" s="91"/>
      <c r="P54" s="53"/>
      <c r="Q54" s="161"/>
      <c r="R54" s="161"/>
      <c r="S54" s="81"/>
      <c r="T54" s="82"/>
      <c r="U54" s="82"/>
      <c r="V54" s="6"/>
      <c r="W54" s="81"/>
      <c r="X54" s="81"/>
      <c r="Y54" s="6"/>
      <c r="Z54" s="6"/>
      <c r="AA54" s="68"/>
      <c r="AB54" s="68"/>
      <c r="AC54" s="6"/>
      <c r="AD54" s="95"/>
      <c r="AE54" s="99"/>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row>
    <row r="55" spans="1:252" s="96" customFormat="1" ht="15">
      <c r="A55" s="6"/>
      <c r="B55" s="54"/>
      <c r="C55" s="54"/>
      <c r="D55" s="54"/>
      <c r="E55" s="54"/>
      <c r="F55" s="55"/>
      <c r="G55" s="56"/>
      <c r="H55" s="100"/>
      <c r="I55" s="6"/>
      <c r="J55" s="101"/>
      <c r="K55" s="257" t="str">
        <f>IF($E$54*1.5&lt;IF($M$7&lt;0,$I$54+$M$7,$I$54),"Überschreitung der zulässigen Monatsarbeitszeit um &gt;50%","")</f>
        <v/>
      </c>
      <c r="L55" s="257"/>
      <c r="M55" s="257"/>
      <c r="N55" s="257"/>
      <c r="O55" s="257"/>
      <c r="P55" s="60"/>
      <c r="Q55" s="162"/>
      <c r="R55" s="162"/>
      <c r="S55" s="83"/>
      <c r="T55" s="83"/>
      <c r="U55" s="83"/>
      <c r="V55" s="6"/>
      <c r="W55" s="6"/>
      <c r="X55" s="76"/>
      <c r="Y55" s="6"/>
      <c r="Z55" s="6"/>
      <c r="AA55" s="68"/>
      <c r="AB55" s="68"/>
      <c r="AC55" s="6"/>
      <c r="AD55" s="95"/>
      <c r="AE55" s="99"/>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row>
    <row r="56" spans="1:252" s="96" customFormat="1" ht="15">
      <c r="A56" s="6"/>
      <c r="B56" s="54"/>
      <c r="C56" s="54"/>
      <c r="D56" s="54"/>
      <c r="E56" s="54"/>
      <c r="F56" s="55"/>
      <c r="G56" s="56"/>
      <c r="H56" s="102"/>
      <c r="I56" s="101"/>
      <c r="J56" s="101"/>
      <c r="K56" s="58"/>
      <c r="L56" s="59"/>
      <c r="M56" s="59"/>
      <c r="N56" s="59"/>
      <c r="O56" s="59"/>
      <c r="P56" s="60"/>
      <c r="Q56" s="162"/>
      <c r="R56" s="162"/>
      <c r="S56" s="83"/>
      <c r="T56" s="83"/>
      <c r="U56" s="83"/>
      <c r="V56" s="6"/>
      <c r="W56" s="6"/>
      <c r="X56" s="81"/>
      <c r="Y56" s="6"/>
      <c r="Z56" s="6"/>
      <c r="AA56" s="68"/>
      <c r="AB56" s="68"/>
      <c r="AC56" s="6"/>
      <c r="AD56" s="95"/>
      <c r="AE56" s="99"/>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row>
    <row r="57" spans="1:252" s="96" customFormat="1" ht="15">
      <c r="A57" s="6"/>
      <c r="B57" s="61"/>
      <c r="C57" s="61"/>
      <c r="D57" s="61"/>
      <c r="E57" s="61"/>
      <c r="F57" s="61"/>
      <c r="G57" s="61"/>
      <c r="H57" s="62"/>
      <c r="I57" s="6"/>
      <c r="J57" s="6"/>
      <c r="K57" s="6" t="s">
        <v>75</v>
      </c>
      <c r="L57" s="6"/>
      <c r="M57" s="6"/>
      <c r="N57" s="6"/>
      <c r="O57" s="57"/>
      <c r="P57" s="24"/>
      <c r="Q57" s="156"/>
      <c r="R57" s="156"/>
      <c r="S57" s="6"/>
      <c r="T57" s="6"/>
      <c r="U57" s="6"/>
      <c r="V57" s="6"/>
      <c r="W57" s="6"/>
      <c r="X57" s="6"/>
      <c r="Y57" s="6"/>
      <c r="Z57" s="6"/>
      <c r="AA57" s="68"/>
      <c r="AB57" s="68"/>
      <c r="AC57" s="6"/>
      <c r="AD57" s="95"/>
      <c r="AE57" s="99"/>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row>
    <row r="58" spans="1:252" s="96" customFormat="1" ht="15">
      <c r="A58" s="6"/>
      <c r="B58" s="62"/>
      <c r="C58" s="62"/>
      <c r="D58" s="62"/>
      <c r="E58" s="62"/>
      <c r="F58" s="62"/>
      <c r="G58" s="62"/>
      <c r="H58" s="32"/>
      <c r="I58" s="103"/>
      <c r="J58" s="68"/>
      <c r="K58" s="6" t="s">
        <v>76</v>
      </c>
      <c r="L58" s="206"/>
      <c r="M58" s="207"/>
      <c r="N58" s="207"/>
      <c r="O58" s="201"/>
      <c r="P58" s="63"/>
      <c r="Q58" s="163"/>
      <c r="R58" s="163"/>
      <c r="S58" s="84"/>
      <c r="T58" s="84"/>
      <c r="U58" s="84"/>
      <c r="V58" s="6"/>
      <c r="W58" s="6"/>
      <c r="X58" s="6"/>
      <c r="Y58" s="6"/>
      <c r="Z58" s="6"/>
      <c r="AA58" s="68"/>
      <c r="AB58" s="68"/>
      <c r="AC58" s="6"/>
      <c r="AD58" s="95"/>
      <c r="AE58" s="99"/>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row>
    <row r="59" spans="1:252" s="96" customFormat="1" ht="15">
      <c r="A59" s="6"/>
      <c r="B59" s="64"/>
      <c r="C59" s="64"/>
      <c r="D59" s="64"/>
      <c r="E59" s="64"/>
      <c r="F59" s="64"/>
      <c r="G59" s="62"/>
      <c r="H59" s="208"/>
      <c r="I59" s="208"/>
      <c r="J59" s="208"/>
      <c r="K59" s="65"/>
      <c r="L59" s="65"/>
      <c r="M59" s="65"/>
      <c r="N59" s="65"/>
      <c r="O59" s="65"/>
      <c r="P59" s="66"/>
      <c r="Q59" s="156"/>
      <c r="R59" s="156"/>
      <c r="S59" s="6"/>
      <c r="T59" s="6"/>
      <c r="U59" s="6"/>
      <c r="V59" s="6"/>
      <c r="W59" s="6"/>
      <c r="X59" s="6"/>
      <c r="Y59" s="6"/>
      <c r="Z59" s="6"/>
      <c r="AA59" s="68"/>
      <c r="AB59" s="68"/>
      <c r="AC59" s="6"/>
      <c r="AD59" s="95"/>
      <c r="AE59" s="99"/>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row>
    <row r="60" spans="1:252" s="96" customFormat="1" ht="15">
      <c r="A60" s="6"/>
      <c r="B60" s="67" t="s">
        <v>4</v>
      </c>
      <c r="C60" s="280" t="s">
        <v>5</v>
      </c>
      <c r="D60" s="280"/>
      <c r="E60" s="280"/>
      <c r="F60" s="280"/>
      <c r="G60" s="281"/>
      <c r="H60" s="32"/>
      <c r="I60" s="104"/>
      <c r="J60" s="6"/>
      <c r="K60" s="67" t="s">
        <v>4</v>
      </c>
      <c r="L60" s="281" t="s">
        <v>66</v>
      </c>
      <c r="M60" s="281"/>
      <c r="N60" s="281"/>
      <c r="O60" s="281"/>
      <c r="P60" s="281"/>
      <c r="Q60" s="24"/>
      <c r="R60" s="6"/>
      <c r="S60" s="6"/>
      <c r="T60" s="6"/>
      <c r="U60" s="6"/>
      <c r="V60" s="6"/>
      <c r="W60" s="6"/>
      <c r="X60" s="6"/>
      <c r="Y60" s="6"/>
      <c r="Z60" s="6"/>
      <c r="AA60" s="68"/>
      <c r="AB60" s="68"/>
      <c r="AC60" s="6"/>
      <c r="AD60" s="95"/>
      <c r="AE60" s="99"/>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row>
    <row r="61" spans="1:252" s="96" customFormat="1" ht="15">
      <c r="A61" s="6"/>
      <c r="B61" s="67"/>
      <c r="C61" s="205"/>
      <c r="D61" s="205"/>
      <c r="E61" s="205"/>
      <c r="F61" s="205"/>
      <c r="G61" s="205"/>
      <c r="H61" s="32"/>
      <c r="I61" s="104"/>
      <c r="J61" s="6"/>
      <c r="K61" s="67"/>
      <c r="L61" s="205"/>
      <c r="M61" s="205"/>
      <c r="N61" s="205"/>
      <c r="O61" s="205"/>
      <c r="P61" s="205"/>
      <c r="Q61" s="24"/>
      <c r="R61" s="6"/>
      <c r="S61" s="6"/>
      <c r="T61" s="6"/>
      <c r="U61" s="6"/>
      <c r="V61" s="6"/>
      <c r="W61" s="6"/>
      <c r="X61" s="6"/>
      <c r="Y61" s="6"/>
      <c r="Z61" s="6"/>
      <c r="AA61" s="68"/>
      <c r="AB61" s="68"/>
      <c r="AC61" s="6"/>
      <c r="AD61" s="95"/>
      <c r="AE61" s="99"/>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row>
    <row r="62" spans="1:252" s="96" customFormat="1" ht="15">
      <c r="A62" s="6"/>
      <c r="B62" s="57"/>
      <c r="C62" s="57"/>
      <c r="D62" s="57"/>
      <c r="E62" s="57"/>
      <c r="F62" s="57"/>
      <c r="G62" s="57"/>
      <c r="H62" s="105" t="s">
        <v>46</v>
      </c>
      <c r="I62" s="32"/>
      <c r="J62" s="106">
        <v>42114</v>
      </c>
      <c r="K62" s="57"/>
      <c r="L62" s="57"/>
      <c r="M62" s="57"/>
      <c r="N62" s="57"/>
      <c r="O62" s="57"/>
      <c r="P62" s="24"/>
      <c r="Q62" s="24"/>
      <c r="R62" s="6"/>
      <c r="S62" s="6"/>
      <c r="T62" s="6"/>
      <c r="U62" s="6"/>
      <c r="V62" s="68"/>
      <c r="W62" s="6"/>
      <c r="X62" s="6"/>
      <c r="Y62" s="6"/>
      <c r="Z62" s="6"/>
      <c r="AA62" s="68"/>
      <c r="AB62" s="68"/>
      <c r="AC62" s="6"/>
      <c r="AD62" s="95"/>
      <c r="AE62" s="99"/>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row>
    <row r="63" spans="1:252" s="96" customFormat="1" ht="15" hidden="1">
      <c r="A63" s="6"/>
      <c r="B63" s="57"/>
      <c r="C63" s="57"/>
      <c r="D63" s="57"/>
      <c r="E63" s="57"/>
      <c r="F63" s="57"/>
      <c r="G63" s="57"/>
      <c r="H63" s="57"/>
      <c r="I63" s="57"/>
      <c r="J63" s="57"/>
      <c r="K63" s="57"/>
      <c r="L63" s="57"/>
      <c r="M63" s="57"/>
      <c r="N63" s="57"/>
      <c r="O63" s="57"/>
      <c r="P63" s="24"/>
      <c r="Q63" s="24"/>
      <c r="R63" s="6"/>
      <c r="S63" s="6"/>
      <c r="T63" s="6"/>
      <c r="U63" s="6"/>
      <c r="V63" s="6"/>
      <c r="W63" s="6"/>
      <c r="X63" s="6"/>
      <c r="Y63" s="6"/>
      <c r="Z63" s="6"/>
      <c r="AA63" s="68"/>
      <c r="AB63" s="68"/>
      <c r="AC63" s="6"/>
      <c r="AD63" s="95"/>
      <c r="AE63" s="99"/>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row>
    <row r="64" spans="1:252" s="96" customFormat="1" ht="15" hidden="1">
      <c r="A64" s="6"/>
      <c r="B64" s="57"/>
      <c r="C64" s="57"/>
      <c r="D64" s="57"/>
      <c r="E64" s="57"/>
      <c r="F64" s="57"/>
      <c r="G64" s="57"/>
      <c r="H64" s="57"/>
      <c r="I64" s="57"/>
      <c r="J64" s="57"/>
      <c r="K64" s="57"/>
      <c r="L64" s="57"/>
      <c r="M64" s="57"/>
      <c r="N64" s="57"/>
      <c r="O64" s="57"/>
      <c r="P64" s="24"/>
      <c r="Q64" s="24"/>
      <c r="R64" s="6"/>
      <c r="S64" s="6"/>
      <c r="T64" s="6"/>
      <c r="U64" s="6"/>
      <c r="V64" s="6"/>
      <c r="W64" s="6"/>
      <c r="X64" s="6"/>
      <c r="Y64" s="6"/>
      <c r="Z64" s="6"/>
      <c r="AA64" s="68"/>
      <c r="AB64" s="68"/>
      <c r="AC64" s="6"/>
      <c r="AD64" s="95"/>
      <c r="AE64" s="99"/>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row>
    <row r="65" spans="1:252" s="96" customFormat="1" ht="15" hidden="1">
      <c r="A65" s="6"/>
      <c r="B65" s="57"/>
      <c r="C65" s="57"/>
      <c r="D65" s="57"/>
      <c r="E65" s="57"/>
      <c r="F65" s="57"/>
      <c r="G65" s="57"/>
      <c r="H65" s="57"/>
      <c r="I65" s="57"/>
      <c r="J65" s="57"/>
      <c r="K65" s="57"/>
      <c r="L65" s="57"/>
      <c r="M65" s="57"/>
      <c r="N65" s="57"/>
      <c r="O65" s="57"/>
      <c r="P65" s="24"/>
      <c r="Q65" s="24"/>
      <c r="R65" s="6"/>
      <c r="S65" s="6"/>
      <c r="T65" s="6"/>
      <c r="U65" s="6"/>
      <c r="V65" s="6"/>
      <c r="W65" s="6"/>
      <c r="X65" s="6"/>
      <c r="Y65" s="6"/>
      <c r="Z65" s="6"/>
      <c r="AA65" s="68"/>
      <c r="AB65" s="68"/>
      <c r="AC65" s="6"/>
      <c r="AD65" s="95"/>
      <c r="AE65" s="99"/>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row>
    <row r="66" spans="1:252" s="96" customFormat="1" ht="15" hidden="1">
      <c r="A66" s="6"/>
      <c r="B66" s="57"/>
      <c r="C66" s="57"/>
      <c r="D66" s="57"/>
      <c r="E66" s="57"/>
      <c r="F66" s="57"/>
      <c r="G66" s="57"/>
      <c r="H66" s="57"/>
      <c r="I66" s="57"/>
      <c r="J66" s="57"/>
      <c r="K66" s="57"/>
      <c r="L66" s="57"/>
      <c r="M66" s="57"/>
      <c r="N66" s="57"/>
      <c r="O66" s="57"/>
      <c r="P66" s="24"/>
      <c r="Q66" s="24"/>
      <c r="R66" s="6"/>
      <c r="S66" s="6"/>
      <c r="T66" s="6"/>
      <c r="U66" s="6"/>
      <c r="V66" s="6"/>
      <c r="W66" s="6"/>
      <c r="X66" s="6"/>
      <c r="Y66" s="6"/>
      <c r="Z66" s="6"/>
      <c r="AA66" s="68"/>
      <c r="AB66" s="68"/>
      <c r="AC66" s="6"/>
      <c r="AD66" s="95"/>
      <c r="AE66" s="99"/>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row>
    <row r="67" spans="1:252" s="96" customFormat="1" ht="15" hidden="1">
      <c r="A67" s="6"/>
      <c r="B67" s="57"/>
      <c r="C67" s="57"/>
      <c r="D67" s="57"/>
      <c r="E67" s="57"/>
      <c r="F67" s="57"/>
      <c r="G67" s="57"/>
      <c r="H67" s="57"/>
      <c r="I67" s="57"/>
      <c r="J67" s="57"/>
      <c r="K67" s="57"/>
      <c r="L67" s="57"/>
      <c r="M67" s="57"/>
      <c r="N67" s="57"/>
      <c r="O67" s="57"/>
      <c r="P67" s="24"/>
      <c r="Q67" s="24"/>
      <c r="R67" s="6"/>
      <c r="S67" s="6"/>
      <c r="T67" s="6"/>
      <c r="U67" s="6"/>
      <c r="V67" s="6"/>
      <c r="W67" s="6"/>
      <c r="X67" s="6"/>
      <c r="Y67" s="6"/>
      <c r="Z67" s="6"/>
      <c r="AA67" s="68"/>
      <c r="AB67" s="68"/>
      <c r="AC67" s="6"/>
      <c r="AD67" s="95"/>
      <c r="AE67" s="99"/>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row>
    <row r="68" spans="1:252" s="96" customFormat="1" ht="15" hidden="1">
      <c r="A68" s="6"/>
      <c r="B68" s="57"/>
      <c r="C68" s="57"/>
      <c r="D68" s="57"/>
      <c r="E68" s="57"/>
      <c r="F68" s="57"/>
      <c r="G68" s="57"/>
      <c r="H68" s="57"/>
      <c r="I68" s="57"/>
      <c r="J68" s="57"/>
      <c r="K68" s="57"/>
      <c r="L68" s="57"/>
      <c r="M68" s="57"/>
      <c r="N68" s="57"/>
      <c r="O68" s="57"/>
      <c r="P68" s="24"/>
      <c r="Q68" s="24"/>
      <c r="R68" s="6"/>
      <c r="S68" s="6"/>
      <c r="T68" s="6"/>
      <c r="U68" s="6"/>
      <c r="V68" s="6"/>
      <c r="W68" s="6"/>
      <c r="X68" s="6"/>
      <c r="Y68" s="6"/>
      <c r="Z68" s="6"/>
      <c r="AA68" s="68"/>
      <c r="AB68" s="68"/>
      <c r="AC68" s="6"/>
      <c r="AD68" s="95"/>
      <c r="AE68" s="99"/>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row>
    <row r="69" spans="1:252" s="96" customFormat="1" ht="15" hidden="1">
      <c r="A69" s="6"/>
      <c r="B69" s="57"/>
      <c r="C69" s="57"/>
      <c r="D69" s="57"/>
      <c r="E69" s="57"/>
      <c r="F69" s="57"/>
      <c r="G69" s="57"/>
      <c r="H69" s="57"/>
      <c r="I69" s="57"/>
      <c r="J69" s="57"/>
      <c r="K69" s="57"/>
      <c r="L69" s="57"/>
      <c r="M69" s="57"/>
      <c r="N69" s="57"/>
      <c r="O69" s="57"/>
      <c r="P69" s="24"/>
      <c r="Q69" s="24"/>
      <c r="R69" s="6"/>
      <c r="S69" s="6"/>
      <c r="T69" s="6"/>
      <c r="U69" s="6"/>
      <c r="V69" s="6"/>
      <c r="W69" s="6"/>
      <c r="X69" s="6"/>
      <c r="Y69" s="6"/>
      <c r="Z69" s="6"/>
      <c r="AA69" s="68"/>
      <c r="AB69" s="68"/>
      <c r="AC69" s="6"/>
      <c r="AD69" s="95"/>
      <c r="AE69" s="99"/>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row>
    <row r="70" spans="1:252" s="96" customFormat="1" ht="15" hidden="1">
      <c r="A70" s="6"/>
      <c r="B70" s="57"/>
      <c r="C70" s="57"/>
      <c r="D70" s="57"/>
      <c r="E70" s="57"/>
      <c r="F70" s="57"/>
      <c r="G70" s="57"/>
      <c r="H70" s="57"/>
      <c r="I70" s="57"/>
      <c r="J70" s="57"/>
      <c r="K70" s="57"/>
      <c r="L70" s="57"/>
      <c r="M70" s="57"/>
      <c r="N70" s="57"/>
      <c r="O70" s="57"/>
      <c r="P70" s="24"/>
      <c r="Q70" s="24"/>
      <c r="R70" s="6"/>
      <c r="S70" s="6"/>
      <c r="T70" s="6"/>
      <c r="U70" s="6"/>
      <c r="V70" s="6"/>
      <c r="W70" s="6"/>
      <c r="X70" s="6"/>
      <c r="Y70" s="6"/>
      <c r="Z70" s="6"/>
      <c r="AA70" s="68"/>
      <c r="AB70" s="68"/>
      <c r="AC70" s="6"/>
      <c r="AD70" s="95"/>
      <c r="AE70" s="99"/>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row>
    <row r="71" spans="1:252" s="96" customFormat="1" ht="15" hidden="1">
      <c r="A71" s="6"/>
      <c r="B71" s="57"/>
      <c r="C71" s="57"/>
      <c r="D71" s="57"/>
      <c r="E71" s="57"/>
      <c r="F71" s="57"/>
      <c r="G71" s="57"/>
      <c r="H71" s="57"/>
      <c r="I71" s="57"/>
      <c r="J71" s="57"/>
      <c r="K71" s="57"/>
      <c r="L71" s="57"/>
      <c r="M71" s="57"/>
      <c r="N71" s="57"/>
      <c r="O71" s="57"/>
      <c r="P71" s="24"/>
      <c r="Q71" s="24"/>
      <c r="R71" s="6"/>
      <c r="S71" s="6"/>
      <c r="T71" s="6"/>
      <c r="U71" s="6"/>
      <c r="V71" s="6"/>
      <c r="W71" s="6"/>
      <c r="X71" s="6"/>
      <c r="Y71" s="6"/>
      <c r="Z71" s="6"/>
      <c r="AA71" s="68"/>
      <c r="AB71" s="68"/>
      <c r="AC71" s="6"/>
      <c r="AD71" s="95"/>
      <c r="AE71" s="99"/>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row>
    <row r="72" spans="1:252" s="96" customFormat="1" ht="15" hidden="1">
      <c r="A72" s="6"/>
      <c r="B72" s="57"/>
      <c r="C72" s="57"/>
      <c r="D72" s="57"/>
      <c r="E72" s="57"/>
      <c r="F72" s="57"/>
      <c r="G72" s="57"/>
      <c r="H72" s="57"/>
      <c r="I72" s="57"/>
      <c r="J72" s="57"/>
      <c r="K72" s="57"/>
      <c r="L72" s="57"/>
      <c r="M72" s="57"/>
      <c r="N72" s="57"/>
      <c r="O72" s="57"/>
      <c r="P72" s="24"/>
      <c r="Q72" s="24"/>
      <c r="R72" s="6"/>
      <c r="S72" s="6"/>
      <c r="T72" s="6"/>
      <c r="U72" s="6"/>
      <c r="V72" s="6"/>
      <c r="W72" s="6"/>
      <c r="X72" s="6"/>
      <c r="Y72" s="6"/>
      <c r="Z72" s="6"/>
      <c r="AA72" s="68"/>
      <c r="AB72" s="68"/>
      <c r="AC72" s="6"/>
      <c r="AD72" s="95"/>
      <c r="AE72" s="99"/>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row>
    <row r="73" spans="1:252" s="96" customFormat="1" ht="15" hidden="1">
      <c r="A73" s="6"/>
      <c r="B73" s="57"/>
      <c r="C73" s="57"/>
      <c r="D73" s="57"/>
      <c r="E73" s="57"/>
      <c r="F73" s="57"/>
      <c r="G73" s="57"/>
      <c r="H73" s="57"/>
      <c r="I73" s="57"/>
      <c r="J73" s="57"/>
      <c r="K73" s="57"/>
      <c r="L73" s="57"/>
      <c r="M73" s="57"/>
      <c r="N73" s="57"/>
      <c r="O73" s="57"/>
      <c r="P73" s="24"/>
      <c r="Q73" s="24"/>
      <c r="R73" s="6"/>
      <c r="S73" s="6"/>
      <c r="T73" s="6"/>
      <c r="U73" s="6"/>
      <c r="V73" s="6"/>
      <c r="W73" s="6"/>
      <c r="X73" s="6"/>
      <c r="Y73" s="6"/>
      <c r="Z73" s="6"/>
      <c r="AA73" s="68"/>
      <c r="AB73" s="68"/>
      <c r="AC73" s="6"/>
      <c r="AD73" s="95"/>
      <c r="AE73" s="99"/>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c r="HR73" s="3"/>
      <c r="HS73" s="3"/>
      <c r="HT73" s="3"/>
      <c r="HU73" s="3"/>
      <c r="HV73" s="3"/>
      <c r="HW73" s="3"/>
      <c r="HX73" s="3"/>
      <c r="HY73" s="3"/>
      <c r="HZ73" s="3"/>
      <c r="IA73" s="3"/>
      <c r="IB73" s="3"/>
      <c r="IC73" s="3"/>
      <c r="ID73" s="3"/>
      <c r="IE73" s="3"/>
      <c r="IF73" s="3"/>
      <c r="IG73" s="3"/>
      <c r="IH73" s="3"/>
      <c r="II73" s="3"/>
      <c r="IJ73" s="3"/>
      <c r="IK73" s="3"/>
      <c r="IL73" s="3"/>
      <c r="IM73" s="3"/>
      <c r="IN73" s="3"/>
      <c r="IO73" s="3"/>
      <c r="IP73" s="3"/>
      <c r="IQ73" s="3"/>
      <c r="IR73" s="3"/>
    </row>
    <row r="74" spans="1:252" s="96" customFormat="1" ht="15" hidden="1">
      <c r="A74" s="6"/>
      <c r="B74" s="57"/>
      <c r="C74" s="57"/>
      <c r="D74" s="57"/>
      <c r="E74" s="57"/>
      <c r="F74" s="57"/>
      <c r="G74" s="57"/>
      <c r="H74" s="57"/>
      <c r="I74" s="57"/>
      <c r="J74" s="57"/>
      <c r="K74" s="57"/>
      <c r="L74" s="57"/>
      <c r="M74" s="57"/>
      <c r="N74" s="57"/>
      <c r="O74" s="57"/>
      <c r="P74" s="24"/>
      <c r="Q74" s="24"/>
      <c r="R74" s="6"/>
      <c r="S74" s="6"/>
      <c r="T74" s="6"/>
      <c r="U74" s="6"/>
      <c r="V74" s="6"/>
      <c r="W74" s="6"/>
      <c r="X74" s="6"/>
      <c r="Y74" s="6"/>
      <c r="Z74" s="6"/>
      <c r="AA74" s="68"/>
      <c r="AB74" s="68"/>
      <c r="AC74" s="6"/>
      <c r="AD74" s="95"/>
      <c r="AE74" s="99"/>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row>
    <row r="75" spans="1:252" s="96" customFormat="1" ht="15" hidden="1">
      <c r="A75" s="6"/>
      <c r="B75" s="57"/>
      <c r="C75" s="57"/>
      <c r="D75" s="57"/>
      <c r="E75" s="57"/>
      <c r="F75" s="57"/>
      <c r="G75" s="57"/>
      <c r="H75" s="57"/>
      <c r="I75" s="57"/>
      <c r="J75" s="57"/>
      <c r="K75" s="57"/>
      <c r="L75" s="57"/>
      <c r="M75" s="57"/>
      <c r="N75" s="57"/>
      <c r="O75" s="57"/>
      <c r="P75" s="24"/>
      <c r="Q75" s="24"/>
      <c r="R75" s="6"/>
      <c r="S75" s="6"/>
      <c r="T75" s="6"/>
      <c r="U75" s="6"/>
      <c r="V75" s="6"/>
      <c r="W75" s="6"/>
      <c r="X75" s="6"/>
      <c r="Y75" s="6"/>
      <c r="Z75" s="6"/>
      <c r="AA75" s="68"/>
      <c r="AB75" s="68"/>
      <c r="AC75" s="6"/>
      <c r="AD75" s="95"/>
      <c r="AE75" s="99"/>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row>
    <row r="76" spans="1:252" s="96" customFormat="1" ht="15" hidden="1">
      <c r="A76" s="6"/>
      <c r="B76" s="57"/>
      <c r="C76" s="57"/>
      <c r="D76" s="57"/>
      <c r="E76" s="57"/>
      <c r="F76" s="57"/>
      <c r="G76" s="57"/>
      <c r="H76" s="57"/>
      <c r="I76" s="57"/>
      <c r="J76" s="57"/>
      <c r="K76" s="57"/>
      <c r="L76" s="57"/>
      <c r="M76" s="57"/>
      <c r="N76" s="57"/>
      <c r="O76" s="57"/>
      <c r="P76" s="24"/>
      <c r="Q76" s="24"/>
      <c r="R76" s="6"/>
      <c r="S76" s="6"/>
      <c r="T76" s="6"/>
      <c r="U76" s="6"/>
      <c r="V76" s="6"/>
      <c r="W76" s="6"/>
      <c r="X76" s="6"/>
      <c r="Y76" s="6"/>
      <c r="Z76" s="6"/>
      <c r="AA76" s="68"/>
      <c r="AB76" s="68"/>
      <c r="AC76" s="6"/>
      <c r="AD76" s="95"/>
      <c r="AE76" s="99"/>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row>
    <row r="77" spans="1:252" s="96" customFormat="1" ht="15" hidden="1">
      <c r="A77" s="6"/>
      <c r="B77" s="57"/>
      <c r="C77" s="57"/>
      <c r="D77" s="57"/>
      <c r="E77" s="57"/>
      <c r="F77" s="57"/>
      <c r="G77" s="57"/>
      <c r="H77" s="57"/>
      <c r="I77" s="57"/>
      <c r="J77" s="57"/>
      <c r="K77" s="57"/>
      <c r="L77" s="57"/>
      <c r="M77" s="57"/>
      <c r="N77" s="57"/>
      <c r="O77" s="57"/>
      <c r="P77" s="24"/>
      <c r="Q77" s="24"/>
      <c r="R77" s="6"/>
      <c r="S77" s="6"/>
      <c r="T77" s="6"/>
      <c r="U77" s="6"/>
      <c r="V77" s="6"/>
      <c r="W77" s="6"/>
      <c r="X77" s="6"/>
      <c r="Y77" s="6"/>
      <c r="Z77" s="6"/>
      <c r="AA77" s="68"/>
      <c r="AB77" s="68"/>
      <c r="AC77" s="6"/>
      <c r="AD77" s="95"/>
      <c r="AE77" s="99"/>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c r="HF77" s="3"/>
      <c r="HG77" s="3"/>
      <c r="HH77" s="3"/>
      <c r="HI77" s="3"/>
      <c r="HJ77" s="3"/>
      <c r="HK77" s="3"/>
      <c r="HL77" s="3"/>
      <c r="HM77" s="3"/>
      <c r="HN77" s="3"/>
      <c r="HO77" s="3"/>
      <c r="HP77" s="3"/>
      <c r="HQ77" s="3"/>
      <c r="HR77" s="3"/>
      <c r="HS77" s="3"/>
      <c r="HT77" s="3"/>
      <c r="HU77" s="3"/>
      <c r="HV77" s="3"/>
      <c r="HW77" s="3"/>
      <c r="HX77" s="3"/>
      <c r="HY77" s="3"/>
      <c r="HZ77" s="3"/>
      <c r="IA77" s="3"/>
      <c r="IB77" s="3"/>
      <c r="IC77" s="3"/>
      <c r="ID77" s="3"/>
      <c r="IE77" s="3"/>
      <c r="IF77" s="3"/>
      <c r="IG77" s="3"/>
      <c r="IH77" s="3"/>
      <c r="II77" s="3"/>
      <c r="IJ77" s="3"/>
      <c r="IK77" s="3"/>
      <c r="IL77" s="3"/>
      <c r="IM77" s="3"/>
      <c r="IN77" s="3"/>
      <c r="IO77" s="3"/>
      <c r="IP77" s="3"/>
      <c r="IQ77" s="3"/>
      <c r="IR77" s="3"/>
    </row>
    <row r="78" spans="1:252" s="96" customFormat="1" ht="15" hidden="1">
      <c r="A78" s="6"/>
      <c r="B78" s="57"/>
      <c r="C78" s="57"/>
      <c r="D78" s="57"/>
      <c r="E78" s="57"/>
      <c r="F78" s="57"/>
      <c r="G78" s="57"/>
      <c r="H78" s="57"/>
      <c r="I78" s="57"/>
      <c r="J78" s="57"/>
      <c r="K78" s="57"/>
      <c r="L78" s="57"/>
      <c r="M78" s="57"/>
      <c r="N78" s="57"/>
      <c r="O78" s="57"/>
      <c r="P78" s="24"/>
      <c r="Q78" s="24"/>
      <c r="R78" s="6"/>
      <c r="S78" s="6"/>
      <c r="T78" s="6"/>
      <c r="U78" s="6"/>
      <c r="V78" s="6"/>
      <c r="W78" s="6"/>
      <c r="X78" s="6"/>
      <c r="Y78" s="6"/>
      <c r="Z78" s="6"/>
      <c r="AA78" s="68"/>
      <c r="AB78" s="68"/>
      <c r="AC78" s="6"/>
      <c r="AD78" s="95"/>
      <c r="AE78" s="99"/>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c r="HF78" s="3"/>
      <c r="HG78" s="3"/>
      <c r="HH78" s="3"/>
      <c r="HI78" s="3"/>
      <c r="HJ78" s="3"/>
      <c r="HK78" s="3"/>
      <c r="HL78" s="3"/>
      <c r="HM78" s="3"/>
      <c r="HN78" s="3"/>
      <c r="HO78" s="3"/>
      <c r="HP78" s="3"/>
      <c r="HQ78" s="3"/>
      <c r="HR78" s="3"/>
      <c r="HS78" s="3"/>
      <c r="HT78" s="3"/>
      <c r="HU78" s="3"/>
      <c r="HV78" s="3"/>
      <c r="HW78" s="3"/>
      <c r="HX78" s="3"/>
      <c r="HY78" s="3"/>
      <c r="HZ78" s="3"/>
      <c r="IA78" s="3"/>
      <c r="IB78" s="3"/>
      <c r="IC78" s="3"/>
      <c r="ID78" s="3"/>
      <c r="IE78" s="3"/>
      <c r="IF78" s="3"/>
      <c r="IG78" s="3"/>
      <c r="IH78" s="3"/>
      <c r="II78" s="3"/>
      <c r="IJ78" s="3"/>
      <c r="IK78" s="3"/>
      <c r="IL78" s="3"/>
      <c r="IM78" s="3"/>
      <c r="IN78" s="3"/>
      <c r="IO78" s="3"/>
      <c r="IP78" s="3"/>
      <c r="IQ78" s="3"/>
      <c r="IR78" s="3"/>
    </row>
    <row r="79" spans="1:252" s="96" customFormat="1" ht="15" hidden="1">
      <c r="A79" s="6"/>
      <c r="B79" s="57"/>
      <c r="C79" s="57"/>
      <c r="D79" s="57"/>
      <c r="E79" s="57"/>
      <c r="F79" s="57"/>
      <c r="G79" s="57"/>
      <c r="H79" s="57"/>
      <c r="I79" s="57"/>
      <c r="J79" s="57"/>
      <c r="K79" s="57"/>
      <c r="L79" s="57"/>
      <c r="M79" s="57"/>
      <c r="N79" s="57"/>
      <c r="O79" s="57"/>
      <c r="P79" s="24"/>
      <c r="Q79" s="24"/>
      <c r="R79" s="6"/>
      <c r="S79" s="6"/>
      <c r="T79" s="6"/>
      <c r="U79" s="6"/>
      <c r="V79" s="6"/>
      <c r="W79" s="6"/>
      <c r="X79" s="6"/>
      <c r="Y79" s="6"/>
      <c r="Z79" s="6"/>
      <c r="AA79" s="68"/>
      <c r="AB79" s="68"/>
      <c r="AC79" s="6"/>
      <c r="AD79" s="95"/>
      <c r="AE79" s="99"/>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c r="HF79" s="3"/>
      <c r="HG79" s="3"/>
      <c r="HH79" s="3"/>
      <c r="HI79" s="3"/>
      <c r="HJ79" s="3"/>
      <c r="HK79" s="3"/>
      <c r="HL79" s="3"/>
      <c r="HM79" s="3"/>
      <c r="HN79" s="3"/>
      <c r="HO79" s="3"/>
      <c r="HP79" s="3"/>
      <c r="HQ79" s="3"/>
      <c r="HR79" s="3"/>
      <c r="HS79" s="3"/>
      <c r="HT79" s="3"/>
      <c r="HU79" s="3"/>
      <c r="HV79" s="3"/>
      <c r="HW79" s="3"/>
      <c r="HX79" s="3"/>
      <c r="HY79" s="3"/>
      <c r="HZ79" s="3"/>
      <c r="IA79" s="3"/>
      <c r="IB79" s="3"/>
      <c r="IC79" s="3"/>
      <c r="ID79" s="3"/>
      <c r="IE79" s="3"/>
      <c r="IF79" s="3"/>
      <c r="IG79" s="3"/>
      <c r="IH79" s="3"/>
      <c r="II79" s="3"/>
      <c r="IJ79" s="3"/>
      <c r="IK79" s="3"/>
      <c r="IL79" s="3"/>
      <c r="IM79" s="3"/>
      <c r="IN79" s="3"/>
      <c r="IO79" s="3"/>
      <c r="IP79" s="3"/>
      <c r="IQ79" s="3"/>
      <c r="IR79" s="3"/>
    </row>
    <row r="80" spans="1:252" s="96" customFormat="1" ht="15" hidden="1">
      <c r="A80" s="6"/>
      <c r="B80" s="57"/>
      <c r="C80" s="57"/>
      <c r="D80" s="57"/>
      <c r="E80" s="57"/>
      <c r="F80" s="57"/>
      <c r="G80" s="57"/>
      <c r="H80" s="57"/>
      <c r="I80" s="57"/>
      <c r="J80" s="57"/>
      <c r="K80" s="57"/>
      <c r="L80" s="57"/>
      <c r="M80" s="57"/>
      <c r="N80" s="57"/>
      <c r="O80" s="57"/>
      <c r="P80" s="24"/>
      <c r="Q80" s="24"/>
      <c r="R80" s="6"/>
      <c r="S80" s="6"/>
      <c r="T80" s="6"/>
      <c r="U80" s="6"/>
      <c r="V80" s="6"/>
      <c r="W80" s="6"/>
      <c r="X80" s="6"/>
      <c r="Y80" s="6"/>
      <c r="Z80" s="6"/>
      <c r="AA80" s="68"/>
      <c r="AB80" s="68"/>
      <c r="AC80" s="6"/>
      <c r="AD80" s="95"/>
      <c r="AE80" s="99"/>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c r="HF80" s="3"/>
      <c r="HG80" s="3"/>
      <c r="HH80" s="3"/>
      <c r="HI80" s="3"/>
      <c r="HJ80" s="3"/>
      <c r="HK80" s="3"/>
      <c r="HL80" s="3"/>
      <c r="HM80" s="3"/>
      <c r="HN80" s="3"/>
      <c r="HO80" s="3"/>
      <c r="HP80" s="3"/>
      <c r="HQ80" s="3"/>
      <c r="HR80" s="3"/>
      <c r="HS80" s="3"/>
      <c r="HT80" s="3"/>
      <c r="HU80" s="3"/>
      <c r="HV80" s="3"/>
      <c r="HW80" s="3"/>
      <c r="HX80" s="3"/>
      <c r="HY80" s="3"/>
      <c r="HZ80" s="3"/>
      <c r="IA80" s="3"/>
      <c r="IB80" s="3"/>
      <c r="IC80" s="3"/>
      <c r="ID80" s="3"/>
      <c r="IE80" s="3"/>
      <c r="IF80" s="3"/>
      <c r="IG80" s="3"/>
      <c r="IH80" s="3"/>
      <c r="II80" s="3"/>
      <c r="IJ80" s="3"/>
      <c r="IK80" s="3"/>
      <c r="IL80" s="3"/>
      <c r="IM80" s="3"/>
      <c r="IN80" s="3"/>
      <c r="IO80" s="3"/>
      <c r="IP80" s="3"/>
      <c r="IQ80" s="3"/>
      <c r="IR80" s="3"/>
    </row>
  </sheetData>
  <sheetProtection password="EE1F" sheet="1" objects="1" scenarios="1" selectLockedCells="1"/>
  <protectedRanges>
    <protectedRange sqref="M7 F12 I13:M13 F16 E17 I17:M17 F22:H52 L23:P52 C22:C52" name="Eingabebereich"/>
  </protectedRanges>
  <mergeCells count="47">
    <mergeCell ref="L21:P21"/>
    <mergeCell ref="B2:H2"/>
    <mergeCell ref="I2:J2"/>
    <mergeCell ref="K2:L2"/>
    <mergeCell ref="E5:H5"/>
    <mergeCell ref="M5:O5"/>
    <mergeCell ref="E7:H7"/>
    <mergeCell ref="M7:O7"/>
    <mergeCell ref="E17:F17"/>
    <mergeCell ref="C20:E20"/>
    <mergeCell ref="F20:H20"/>
    <mergeCell ref="I20:K20"/>
    <mergeCell ref="L20:P20"/>
    <mergeCell ref="L33:P33"/>
    <mergeCell ref="L22:P22"/>
    <mergeCell ref="L23:P23"/>
    <mergeCell ref="L24:P24"/>
    <mergeCell ref="L25:P25"/>
    <mergeCell ref="L26:P26"/>
    <mergeCell ref="L27:P27"/>
    <mergeCell ref="L28:P28"/>
    <mergeCell ref="L29:P29"/>
    <mergeCell ref="L30:P30"/>
    <mergeCell ref="L31:P31"/>
    <mergeCell ref="L32:P32"/>
    <mergeCell ref="L45:P45"/>
    <mergeCell ref="L34:P34"/>
    <mergeCell ref="L35:P35"/>
    <mergeCell ref="L36:P36"/>
    <mergeCell ref="L37:P37"/>
    <mergeCell ref="L38:P38"/>
    <mergeCell ref="L39:P39"/>
    <mergeCell ref="L40:P40"/>
    <mergeCell ref="L41:P41"/>
    <mergeCell ref="L42:P42"/>
    <mergeCell ref="L43:P43"/>
    <mergeCell ref="L44:P44"/>
    <mergeCell ref="L52:P52"/>
    <mergeCell ref="K55:O55"/>
    <mergeCell ref="C60:G60"/>
    <mergeCell ref="L60:P60"/>
    <mergeCell ref="L46:P46"/>
    <mergeCell ref="L47:P47"/>
    <mergeCell ref="L48:P48"/>
    <mergeCell ref="L49:P49"/>
    <mergeCell ref="L50:P50"/>
    <mergeCell ref="L51:P51"/>
  </mergeCells>
  <conditionalFormatting sqref="C22:I52 L23:L39 L44:L52">
    <cfRule type="expression" dxfId="735" priority="243" stopIfTrue="1">
      <formula>OR(($A22="Samstag"),($A22="Sonntag"),($AA22=TRUE()))</formula>
    </cfRule>
  </conditionalFormatting>
  <conditionalFormatting sqref="B22:B52">
    <cfRule type="expression" dxfId="734" priority="119" stopIfTrue="1">
      <formula>$AA22=TRUE()</formula>
    </cfRule>
    <cfRule type="expression" dxfId="733" priority="123" stopIfTrue="1">
      <formula>OR(($A22="Samstag"),($A22="Sonntag"))</formula>
    </cfRule>
    <cfRule type="expression" dxfId="732" priority="124" stopIfTrue="1">
      <formula>AND($E$17&lt;&gt;"",$B22&gt;=$E$17)</formula>
    </cfRule>
  </conditionalFormatting>
  <conditionalFormatting sqref="F32:H32 L23:L39">
    <cfRule type="expression" dxfId="731" priority="242" stopIfTrue="1">
      <formula>OR(($A23="Samstag"),($A23="Sonntag"))</formula>
    </cfRule>
  </conditionalFormatting>
  <conditionalFormatting sqref="F32:H32">
    <cfRule type="expression" dxfId="730" priority="241" stopIfTrue="1">
      <formula>OR(($A32="Samstag"),($A32="Sonntag"))</formula>
    </cfRule>
  </conditionalFormatting>
  <conditionalFormatting sqref="F52:H52">
    <cfRule type="expression" dxfId="729" priority="230" stopIfTrue="1">
      <formula>OR(($A52="Samstag"),($A52="Sonntag"))</formula>
    </cfRule>
  </conditionalFormatting>
  <conditionalFormatting sqref="F52:H52">
    <cfRule type="expression" dxfId="728" priority="229" stopIfTrue="1">
      <formula>OR(($A52="Samstag"),($A52="Sonntag"))</formula>
    </cfRule>
  </conditionalFormatting>
  <conditionalFormatting sqref="F46:H46">
    <cfRule type="expression" dxfId="727" priority="233" stopIfTrue="1">
      <formula>OR(($A46="Samstag"),($A46="Sonntag"))</formula>
    </cfRule>
  </conditionalFormatting>
  <conditionalFormatting sqref="F32:H32">
    <cfRule type="expression" dxfId="726" priority="237" stopIfTrue="1">
      <formula>OR(($A32="Samstag"),($A32="Sonntag"))</formula>
    </cfRule>
  </conditionalFormatting>
  <conditionalFormatting sqref="F24:H25">
    <cfRule type="expression" dxfId="725" priority="240" stopIfTrue="1">
      <formula>OR(($A24="Samstag"),($A24="Sonntag"))</formula>
    </cfRule>
  </conditionalFormatting>
  <conditionalFormatting sqref="F24:H24">
    <cfRule type="expression" dxfId="724" priority="239" stopIfTrue="1">
      <formula>OR(($A24="Samstag"),($A24="Sonntag"))</formula>
    </cfRule>
  </conditionalFormatting>
  <conditionalFormatting sqref="F25:H25">
    <cfRule type="expression" dxfId="723" priority="238" stopIfTrue="1">
      <formula>OR(($A25="Samstag"),($A25="Sonntag"))</formula>
    </cfRule>
  </conditionalFormatting>
  <conditionalFormatting sqref="F39:H39">
    <cfRule type="expression" dxfId="722" priority="235" stopIfTrue="1">
      <formula>OR(($A39="Samstag"),($A39="Sonntag"))</formula>
    </cfRule>
  </conditionalFormatting>
  <conditionalFormatting sqref="F39:H39">
    <cfRule type="expression" dxfId="721" priority="236" stopIfTrue="1">
      <formula>OR(($A39="Samstag"),($A39="Sonntag"))</formula>
    </cfRule>
  </conditionalFormatting>
  <conditionalFormatting sqref="F39:H39">
    <cfRule type="expression" dxfId="720" priority="234" stopIfTrue="1">
      <formula>OR(($A39="Samstag"),($A39="Sonntag"))</formula>
    </cfRule>
  </conditionalFormatting>
  <conditionalFormatting sqref="F46:H46">
    <cfRule type="expression" dxfId="719" priority="232" stopIfTrue="1">
      <formula>OR(($A46="Samstag"),($A46="Sonntag"))</formula>
    </cfRule>
  </conditionalFormatting>
  <conditionalFormatting sqref="F46:H46">
    <cfRule type="expression" dxfId="718" priority="231" stopIfTrue="1">
      <formula>OR(($A46="Samstag"),($A46="Sonntag"))</formula>
    </cfRule>
  </conditionalFormatting>
  <conditionalFormatting sqref="F22:H52">
    <cfRule type="expression" dxfId="717" priority="228" stopIfTrue="1">
      <formula>OR(($A22="Samstag"),($A22="Sonntag"))</formula>
    </cfRule>
  </conditionalFormatting>
  <conditionalFormatting sqref="F22:H52">
    <cfRule type="expression" dxfId="716" priority="227" stopIfTrue="1">
      <formula>OR(($A22="Samstag"),($A22="Sonntag"))</formula>
    </cfRule>
  </conditionalFormatting>
  <conditionalFormatting sqref="G23">
    <cfRule type="expression" dxfId="715" priority="226" stopIfTrue="1">
      <formula>OR(($A23="Samstag"),($A23="Sonntag"))</formula>
    </cfRule>
  </conditionalFormatting>
  <conditionalFormatting sqref="G23">
    <cfRule type="expression" dxfId="714" priority="225" stopIfTrue="1">
      <formula>OR(($A23="Samstag"),($A23="Sonntag"))</formula>
    </cfRule>
  </conditionalFormatting>
  <conditionalFormatting sqref="F31:H31">
    <cfRule type="expression" dxfId="713" priority="224" stopIfTrue="1">
      <formula>OR(($A31="Samstag"),($A31="Sonntag"))</formula>
    </cfRule>
  </conditionalFormatting>
  <conditionalFormatting sqref="F31:H31">
    <cfRule type="expression" dxfId="712" priority="223" stopIfTrue="1">
      <formula>OR(($A31="Samstag"),($A31="Sonntag"))</formula>
    </cfRule>
  </conditionalFormatting>
  <conditionalFormatting sqref="F38:H38">
    <cfRule type="expression" dxfId="711" priority="222" stopIfTrue="1">
      <formula>OR(($A38="Samstag"),($A38="Sonntag"))</formula>
    </cfRule>
  </conditionalFormatting>
  <conditionalFormatting sqref="F38:H38">
    <cfRule type="expression" dxfId="710" priority="221" stopIfTrue="1">
      <formula>OR(($A38="Samstag"),($A38="Sonntag"))</formula>
    </cfRule>
  </conditionalFormatting>
  <conditionalFormatting sqref="F45:H45">
    <cfRule type="expression" dxfId="709" priority="220" stopIfTrue="1">
      <formula>OR(($A45="Samstag"),($A45="Sonntag"))</formula>
    </cfRule>
  </conditionalFormatting>
  <conditionalFormatting sqref="F45:H45">
    <cfRule type="expression" dxfId="708" priority="219" stopIfTrue="1">
      <formula>OR(($A45="Samstag"),($A45="Sonntag"))</formula>
    </cfRule>
  </conditionalFormatting>
  <conditionalFormatting sqref="G26:G30">
    <cfRule type="expression" dxfId="707" priority="218" stopIfTrue="1">
      <formula>OR(($A26="Samstag"),($A26="Sonntag"))</formula>
    </cfRule>
  </conditionalFormatting>
  <conditionalFormatting sqref="G26:G30">
    <cfRule type="expression" dxfId="706" priority="217" stopIfTrue="1">
      <formula>OR(($A26="Samstag"),($A26="Sonntag"))</formula>
    </cfRule>
  </conditionalFormatting>
  <conditionalFormatting sqref="G33:G37">
    <cfRule type="expression" dxfId="705" priority="216" stopIfTrue="1">
      <formula>OR(($A33="Samstag"),($A33="Sonntag"))</formula>
    </cfRule>
  </conditionalFormatting>
  <conditionalFormatting sqref="G33:G37">
    <cfRule type="expression" dxfId="704" priority="215" stopIfTrue="1">
      <formula>OR(($A33="Samstag"),($A33="Sonntag"))</formula>
    </cfRule>
  </conditionalFormatting>
  <conditionalFormatting sqref="G40:G44">
    <cfRule type="expression" dxfId="703" priority="214" stopIfTrue="1">
      <formula>OR(($A40="Samstag"),($A40="Sonntag"))</formula>
    </cfRule>
  </conditionalFormatting>
  <conditionalFormatting sqref="G40:G44">
    <cfRule type="expression" dxfId="702" priority="213" stopIfTrue="1">
      <formula>OR(($A40="Samstag"),($A40="Sonntag"))</formula>
    </cfRule>
  </conditionalFormatting>
  <conditionalFormatting sqref="G47:G51">
    <cfRule type="expression" dxfId="701" priority="212" stopIfTrue="1">
      <formula>OR(($A47="Samstag"),($A47="Sonntag"))</formula>
    </cfRule>
  </conditionalFormatting>
  <conditionalFormatting sqref="G47:G51">
    <cfRule type="expression" dxfId="700" priority="211" stopIfTrue="1">
      <formula>OR(($A47="Samstag"),($A47="Sonntag"))</formula>
    </cfRule>
  </conditionalFormatting>
  <conditionalFormatting sqref="F23:H23">
    <cfRule type="expression" dxfId="699" priority="210" stopIfTrue="1">
      <formula>OR(($A23="Samstag"),($A23="Sonntag"))</formula>
    </cfRule>
  </conditionalFormatting>
  <conditionalFormatting sqref="F23:H23">
    <cfRule type="expression" dxfId="698" priority="209" stopIfTrue="1">
      <formula>OR(($A23="Samstag"),($A23="Sonntag"))</formula>
    </cfRule>
  </conditionalFormatting>
  <conditionalFormatting sqref="F26:H30">
    <cfRule type="expression" dxfId="697" priority="208" stopIfTrue="1">
      <formula>OR(($A26="Samstag"),($A26="Sonntag"))</formula>
    </cfRule>
  </conditionalFormatting>
  <conditionalFormatting sqref="F26:H30">
    <cfRule type="expression" dxfId="696" priority="207" stopIfTrue="1">
      <formula>OR(($A26="Samstag"),($A26="Sonntag"))</formula>
    </cfRule>
  </conditionalFormatting>
  <conditionalFormatting sqref="F33:H37">
    <cfRule type="expression" dxfId="695" priority="206" stopIfTrue="1">
      <formula>OR(($A33="Samstag"),($A33="Sonntag"))</formula>
    </cfRule>
  </conditionalFormatting>
  <conditionalFormatting sqref="F33:H37">
    <cfRule type="expression" dxfId="694" priority="205" stopIfTrue="1">
      <formula>OR(($A33="Samstag"),($A33="Sonntag"))</formula>
    </cfRule>
  </conditionalFormatting>
  <conditionalFormatting sqref="F40:H44">
    <cfRule type="expression" dxfId="693" priority="204" stopIfTrue="1">
      <formula>OR(($A40="Samstag"),($A40="Sonntag"))</formula>
    </cfRule>
  </conditionalFormatting>
  <conditionalFormatting sqref="F40:H44">
    <cfRule type="expression" dxfId="692" priority="203" stopIfTrue="1">
      <formula>OR(($A40="Samstag"),($A40="Sonntag"))</formula>
    </cfRule>
  </conditionalFormatting>
  <conditionalFormatting sqref="H40:H44">
    <cfRule type="expression" dxfId="691" priority="194" stopIfTrue="1">
      <formula>OR(($A40="Samstag"),($A40="Sonntag"))</formula>
    </cfRule>
  </conditionalFormatting>
  <conditionalFormatting sqref="H40:H44">
    <cfRule type="expression" dxfId="690" priority="193" stopIfTrue="1">
      <formula>OR(($A40="Samstag"),($A40="Sonntag"))</formula>
    </cfRule>
  </conditionalFormatting>
  <conditionalFormatting sqref="F47:H51">
    <cfRule type="expression" dxfId="689" priority="202" stopIfTrue="1">
      <formula>OR(($A47="Samstag"),($A47="Sonntag"))</formula>
    </cfRule>
  </conditionalFormatting>
  <conditionalFormatting sqref="F47:H51">
    <cfRule type="expression" dxfId="688" priority="201" stopIfTrue="1">
      <formula>OR(($A47="Samstag"),($A47="Sonntag"))</formula>
    </cfRule>
  </conditionalFormatting>
  <conditionalFormatting sqref="H23">
    <cfRule type="expression" dxfId="687" priority="200" stopIfTrue="1">
      <formula>OR(($A23="Samstag"),($A23="Sonntag"))</formula>
    </cfRule>
  </conditionalFormatting>
  <conditionalFormatting sqref="H23">
    <cfRule type="expression" dxfId="686" priority="199" stopIfTrue="1">
      <formula>OR(($A23="Samstag"),($A23="Sonntag"))</formula>
    </cfRule>
  </conditionalFormatting>
  <conditionalFormatting sqref="H26:H30">
    <cfRule type="expression" dxfId="685" priority="198" stopIfTrue="1">
      <formula>OR(($A26="Samstag"),($A26="Sonntag"))</formula>
    </cfRule>
  </conditionalFormatting>
  <conditionalFormatting sqref="H26:H30">
    <cfRule type="expression" dxfId="684" priority="197" stopIfTrue="1">
      <formula>OR(($A26="Samstag"),($A26="Sonntag"))</formula>
    </cfRule>
  </conditionalFormatting>
  <conditionalFormatting sqref="H33:H37">
    <cfRule type="expression" dxfId="683" priority="196" stopIfTrue="1">
      <formula>OR(($A33="Samstag"),($A33="Sonntag"))</formula>
    </cfRule>
  </conditionalFormatting>
  <conditionalFormatting sqref="H33:H37">
    <cfRule type="expression" dxfId="682" priority="195" stopIfTrue="1">
      <formula>OR(($A33="Samstag"),($A33="Sonntag"))</formula>
    </cfRule>
  </conditionalFormatting>
  <conditionalFormatting sqref="H47:H51">
    <cfRule type="expression" dxfId="681" priority="192" stopIfTrue="1">
      <formula>OR(($A47="Samstag"),($A47="Sonntag"))</formula>
    </cfRule>
  </conditionalFormatting>
  <conditionalFormatting sqref="H47:H51">
    <cfRule type="expression" dxfId="680" priority="191" stopIfTrue="1">
      <formula>OR(($A47="Samstag"),($A47="Sonntag"))</formula>
    </cfRule>
  </conditionalFormatting>
  <conditionalFormatting sqref="I22:I52">
    <cfRule type="expression" dxfId="679" priority="176" stopIfTrue="1">
      <formula>OR(($A22="Samstag"),($A22="Sonntag"))</formula>
    </cfRule>
  </conditionalFormatting>
  <conditionalFormatting sqref="I22:I52">
    <cfRule type="expression" dxfId="678" priority="175" stopIfTrue="1">
      <formula>OR(($A22="Samstag"),($A22="Sonntag"))</formula>
    </cfRule>
  </conditionalFormatting>
  <conditionalFormatting sqref="N13 N17">
    <cfRule type="cellIs" dxfId="677" priority="125" stopIfTrue="1" operator="equal">
      <formula>0</formula>
    </cfRule>
  </conditionalFormatting>
  <conditionalFormatting sqref="N13">
    <cfRule type="cellIs" dxfId="676" priority="245" stopIfTrue="1" operator="equal">
      <formula>$F$12</formula>
    </cfRule>
    <cfRule type="cellIs" dxfId="675" priority="246" stopIfTrue="1" operator="notEqual">
      <formula>$F$12</formula>
    </cfRule>
  </conditionalFormatting>
  <conditionalFormatting sqref="N17">
    <cfRule type="cellIs" dxfId="674" priority="126" stopIfTrue="1" operator="notEqual">
      <formula>$F$16</formula>
    </cfRule>
    <cfRule type="cellIs" dxfId="673" priority="244" stopIfTrue="1" operator="equal">
      <formula>$F$16</formula>
    </cfRule>
  </conditionalFormatting>
  <conditionalFormatting sqref="I23:I52">
    <cfRule type="expression" dxfId="672" priority="122" stopIfTrue="1">
      <formula>OR(($A23="Samstag"),($A23="Sonntag"))</formula>
    </cfRule>
  </conditionalFormatting>
  <conditionalFormatting sqref="I23:I52">
    <cfRule type="expression" dxfId="671" priority="121" stopIfTrue="1">
      <formula>OR(($A23="Samstag"),($A23="Sonntag"))</formula>
    </cfRule>
  </conditionalFormatting>
  <conditionalFormatting sqref="K55:N55">
    <cfRule type="expression" dxfId="670" priority="120" stopIfTrue="1">
      <formula>OR(($A55="Samstag"),($A55="Sonntag"))</formula>
    </cfRule>
  </conditionalFormatting>
  <conditionalFormatting sqref="G32">
    <cfRule type="expression" dxfId="669" priority="118" stopIfTrue="1">
      <formula>OR(($A32="Samstag"),($A32="Sonntag"))</formula>
    </cfRule>
  </conditionalFormatting>
  <conditionalFormatting sqref="G32">
    <cfRule type="expression" dxfId="668" priority="117" stopIfTrue="1">
      <formula>OR(($A32="Samstag"),($A32="Sonntag"))</formula>
    </cfRule>
  </conditionalFormatting>
  <conditionalFormatting sqref="G52">
    <cfRule type="expression" dxfId="667" priority="106" stopIfTrue="1">
      <formula>OR(($A52="Samstag"),($A52="Sonntag"))</formula>
    </cfRule>
  </conditionalFormatting>
  <conditionalFormatting sqref="G52">
    <cfRule type="expression" dxfId="666" priority="105" stopIfTrue="1">
      <formula>OR(($A52="Samstag"),($A52="Sonntag"))</formula>
    </cfRule>
  </conditionalFormatting>
  <conditionalFormatting sqref="G46">
    <cfRule type="expression" dxfId="665" priority="109" stopIfTrue="1">
      <formula>OR(($A46="Samstag"),($A46="Sonntag"))</formula>
    </cfRule>
  </conditionalFormatting>
  <conditionalFormatting sqref="G32">
    <cfRule type="expression" dxfId="664" priority="113" stopIfTrue="1">
      <formula>OR(($A32="Samstag"),($A32="Sonntag"))</formula>
    </cfRule>
  </conditionalFormatting>
  <conditionalFormatting sqref="G24:G25">
    <cfRule type="expression" dxfId="663" priority="116" stopIfTrue="1">
      <formula>OR(($A24="Samstag"),($A24="Sonntag"))</formula>
    </cfRule>
  </conditionalFormatting>
  <conditionalFormatting sqref="G24">
    <cfRule type="expression" dxfId="662" priority="115" stopIfTrue="1">
      <formula>OR(($A24="Samstag"),($A24="Sonntag"))</formula>
    </cfRule>
  </conditionalFormatting>
  <conditionalFormatting sqref="G25">
    <cfRule type="expression" dxfId="661" priority="114" stopIfTrue="1">
      <formula>OR(($A25="Samstag"),($A25="Sonntag"))</formula>
    </cfRule>
  </conditionalFormatting>
  <conditionalFormatting sqref="G39">
    <cfRule type="expression" dxfId="660" priority="111" stopIfTrue="1">
      <formula>OR(($A39="Samstag"),($A39="Sonntag"))</formula>
    </cfRule>
  </conditionalFormatting>
  <conditionalFormatting sqref="G39">
    <cfRule type="expression" dxfId="659" priority="112" stopIfTrue="1">
      <formula>OR(($A39="Samstag"),($A39="Sonntag"))</formula>
    </cfRule>
  </conditionalFormatting>
  <conditionalFormatting sqref="G39">
    <cfRule type="expression" dxfId="658" priority="110" stopIfTrue="1">
      <formula>OR(($A39="Samstag"),($A39="Sonntag"))</formula>
    </cfRule>
  </conditionalFormatting>
  <conditionalFormatting sqref="G46">
    <cfRule type="expression" dxfId="657" priority="108" stopIfTrue="1">
      <formula>OR(($A46="Samstag"),($A46="Sonntag"))</formula>
    </cfRule>
  </conditionalFormatting>
  <conditionalFormatting sqref="G46">
    <cfRule type="expression" dxfId="656" priority="107" stopIfTrue="1">
      <formula>OR(($A46="Samstag"),($A46="Sonntag"))</formula>
    </cfRule>
  </conditionalFormatting>
  <conditionalFormatting sqref="F22:H52">
    <cfRule type="expression" dxfId="655" priority="104" stopIfTrue="1">
      <formula>OR(($A22="Samstag"),($A22="Sonntag"))</formula>
    </cfRule>
  </conditionalFormatting>
  <conditionalFormatting sqref="F22:H52">
    <cfRule type="expression" dxfId="654" priority="103" stopIfTrue="1">
      <formula>OR(($A22="Samstag"),($A22="Sonntag"))</formula>
    </cfRule>
  </conditionalFormatting>
  <conditionalFormatting sqref="G31">
    <cfRule type="expression" dxfId="653" priority="102" stopIfTrue="1">
      <formula>OR(($A31="Samstag"),($A31="Sonntag"))</formula>
    </cfRule>
  </conditionalFormatting>
  <conditionalFormatting sqref="G31">
    <cfRule type="expression" dxfId="652" priority="101" stopIfTrue="1">
      <formula>OR(($A31="Samstag"),($A31="Sonntag"))</formula>
    </cfRule>
  </conditionalFormatting>
  <conditionalFormatting sqref="G38">
    <cfRule type="expression" dxfId="651" priority="100" stopIfTrue="1">
      <formula>OR(($A38="Samstag"),($A38="Sonntag"))</formula>
    </cfRule>
  </conditionalFormatting>
  <conditionalFormatting sqref="G38">
    <cfRule type="expression" dxfId="650" priority="99" stopIfTrue="1">
      <formula>OR(($A38="Samstag"),($A38="Sonntag"))</formula>
    </cfRule>
  </conditionalFormatting>
  <conditionalFormatting sqref="G45">
    <cfRule type="expression" dxfId="649" priority="98" stopIfTrue="1">
      <formula>OR(($A45="Samstag"),($A45="Sonntag"))</formula>
    </cfRule>
  </conditionalFormatting>
  <conditionalFormatting sqref="G45">
    <cfRule type="expression" dxfId="648" priority="97" stopIfTrue="1">
      <formula>OR(($A45="Samstag"),($A45="Sonntag"))</formula>
    </cfRule>
  </conditionalFormatting>
  <conditionalFormatting sqref="G40:G44">
    <cfRule type="expression" dxfId="647" priority="90" stopIfTrue="1">
      <formula>OR(($A40="Samstag"),($A40="Sonntag"))</formula>
    </cfRule>
  </conditionalFormatting>
  <conditionalFormatting sqref="G40:G44">
    <cfRule type="expression" dxfId="646" priority="89" stopIfTrue="1">
      <formula>OR(($A40="Samstag"),($A40="Sonntag"))</formula>
    </cfRule>
  </conditionalFormatting>
  <conditionalFormatting sqref="G23">
    <cfRule type="expression" dxfId="645" priority="96" stopIfTrue="1">
      <formula>OR(($A23="Samstag"),($A23="Sonntag"))</formula>
    </cfRule>
  </conditionalFormatting>
  <conditionalFormatting sqref="G23">
    <cfRule type="expression" dxfId="644" priority="95" stopIfTrue="1">
      <formula>OR(($A23="Samstag"),($A23="Sonntag"))</formula>
    </cfRule>
  </conditionalFormatting>
  <conditionalFormatting sqref="G26:G30">
    <cfRule type="expression" dxfId="643" priority="94" stopIfTrue="1">
      <formula>OR(($A26="Samstag"),($A26="Sonntag"))</formula>
    </cfRule>
  </conditionalFormatting>
  <conditionalFormatting sqref="G26:G30">
    <cfRule type="expression" dxfId="642" priority="93" stopIfTrue="1">
      <formula>OR(($A26="Samstag"),($A26="Sonntag"))</formula>
    </cfRule>
  </conditionalFormatting>
  <conditionalFormatting sqref="G33:G37">
    <cfRule type="expression" dxfId="641" priority="92" stopIfTrue="1">
      <formula>OR(($A33="Samstag"),($A33="Sonntag"))</formula>
    </cfRule>
  </conditionalFormatting>
  <conditionalFormatting sqref="G33:G37">
    <cfRule type="expression" dxfId="640" priority="91" stopIfTrue="1">
      <formula>OR(($A33="Samstag"),($A33="Sonntag"))</formula>
    </cfRule>
  </conditionalFormatting>
  <conditionalFormatting sqref="G47:G51">
    <cfRule type="expression" dxfId="639" priority="88" stopIfTrue="1">
      <formula>OR(($A47="Samstag"),($A47="Sonntag"))</formula>
    </cfRule>
  </conditionalFormatting>
  <conditionalFormatting sqref="G47:G51">
    <cfRule type="expression" dxfId="638" priority="87" stopIfTrue="1">
      <formula>OR(($A47="Samstag"),($A47="Sonntag"))</formula>
    </cfRule>
  </conditionalFormatting>
  <conditionalFormatting sqref="H32">
    <cfRule type="expression" dxfId="637" priority="86" stopIfTrue="1">
      <formula>OR(($A32="Samstag"),($A32="Sonntag"))</formula>
    </cfRule>
  </conditionalFormatting>
  <conditionalFormatting sqref="H32">
    <cfRule type="expression" dxfId="636" priority="85" stopIfTrue="1">
      <formula>OR(($A32="Samstag"),($A32="Sonntag"))</formula>
    </cfRule>
  </conditionalFormatting>
  <conditionalFormatting sqref="H52">
    <cfRule type="expression" dxfId="635" priority="74" stopIfTrue="1">
      <formula>OR(($A52="Samstag"),($A52="Sonntag"))</formula>
    </cfRule>
  </conditionalFormatting>
  <conditionalFormatting sqref="H52">
    <cfRule type="expression" dxfId="634" priority="73" stopIfTrue="1">
      <formula>OR(($A52="Samstag"),($A52="Sonntag"))</formula>
    </cfRule>
  </conditionalFormatting>
  <conditionalFormatting sqref="H46">
    <cfRule type="expression" dxfId="633" priority="77" stopIfTrue="1">
      <formula>OR(($A46="Samstag"),($A46="Sonntag"))</formula>
    </cfRule>
  </conditionalFormatting>
  <conditionalFormatting sqref="H32">
    <cfRule type="expression" dxfId="632" priority="81" stopIfTrue="1">
      <formula>OR(($A32="Samstag"),($A32="Sonntag"))</formula>
    </cfRule>
  </conditionalFormatting>
  <conditionalFormatting sqref="H24:H25">
    <cfRule type="expression" dxfId="631" priority="84" stopIfTrue="1">
      <formula>OR(($A24="Samstag"),($A24="Sonntag"))</formula>
    </cfRule>
  </conditionalFormatting>
  <conditionalFormatting sqref="H24">
    <cfRule type="expression" dxfId="630" priority="83" stopIfTrue="1">
      <formula>OR(($A24="Samstag"),($A24="Sonntag"))</formula>
    </cfRule>
  </conditionalFormatting>
  <conditionalFormatting sqref="H25">
    <cfRule type="expression" dxfId="629" priority="82" stopIfTrue="1">
      <formula>OR(($A25="Samstag"),($A25="Sonntag"))</formula>
    </cfRule>
  </conditionalFormatting>
  <conditionalFormatting sqref="H39">
    <cfRule type="expression" dxfId="628" priority="79" stopIfTrue="1">
      <formula>OR(($A39="Samstag"),($A39="Sonntag"))</formula>
    </cfRule>
  </conditionalFormatting>
  <conditionalFormatting sqref="H39">
    <cfRule type="expression" dxfId="627" priority="80" stopIfTrue="1">
      <formula>OR(($A39="Samstag"),($A39="Sonntag"))</formula>
    </cfRule>
  </conditionalFormatting>
  <conditionalFormatting sqref="H39">
    <cfRule type="expression" dxfId="626" priority="78" stopIfTrue="1">
      <formula>OR(($A39="Samstag"),($A39="Sonntag"))</formula>
    </cfRule>
  </conditionalFormatting>
  <conditionalFormatting sqref="H46">
    <cfRule type="expression" dxfId="625" priority="76" stopIfTrue="1">
      <formula>OR(($A46="Samstag"),($A46="Sonntag"))</formula>
    </cfRule>
  </conditionalFormatting>
  <conditionalFormatting sqref="H46">
    <cfRule type="expression" dxfId="624" priority="75" stopIfTrue="1">
      <formula>OR(($A46="Samstag"),($A46="Sonntag"))</formula>
    </cfRule>
  </conditionalFormatting>
  <conditionalFormatting sqref="H22:H52">
    <cfRule type="expression" dxfId="623" priority="72" stopIfTrue="1">
      <formula>OR(($A22="Samstag"),($A22="Sonntag"))</formula>
    </cfRule>
  </conditionalFormatting>
  <conditionalFormatting sqref="H22:H52">
    <cfRule type="expression" dxfId="622" priority="71" stopIfTrue="1">
      <formula>OR(($A22="Samstag"),($A22="Sonntag"))</formula>
    </cfRule>
  </conditionalFormatting>
  <conditionalFormatting sqref="H31">
    <cfRule type="expression" dxfId="621" priority="70" stopIfTrue="1">
      <formula>OR(($A31="Samstag"),($A31="Sonntag"))</formula>
    </cfRule>
  </conditionalFormatting>
  <conditionalFormatting sqref="H31">
    <cfRule type="expression" dxfId="620" priority="69" stopIfTrue="1">
      <formula>OR(($A31="Samstag"),($A31="Sonntag"))</formula>
    </cfRule>
  </conditionalFormatting>
  <conditionalFormatting sqref="H38">
    <cfRule type="expression" dxfId="619" priority="68" stopIfTrue="1">
      <formula>OR(($A38="Samstag"),($A38="Sonntag"))</formula>
    </cfRule>
  </conditionalFormatting>
  <conditionalFormatting sqref="H38">
    <cfRule type="expression" dxfId="618" priority="67" stopIfTrue="1">
      <formula>OR(($A38="Samstag"),($A38="Sonntag"))</formula>
    </cfRule>
  </conditionalFormatting>
  <conditionalFormatting sqref="H45">
    <cfRule type="expression" dxfId="617" priority="66" stopIfTrue="1">
      <formula>OR(($A45="Samstag"),($A45="Sonntag"))</formula>
    </cfRule>
  </conditionalFormatting>
  <conditionalFormatting sqref="H45">
    <cfRule type="expression" dxfId="616" priority="65" stopIfTrue="1">
      <formula>OR(($A45="Samstag"),($A45="Sonntag"))</formula>
    </cfRule>
  </conditionalFormatting>
  <conditionalFormatting sqref="H40:H44">
    <cfRule type="expression" dxfId="615" priority="58" stopIfTrue="1">
      <formula>OR(($A40="Samstag"),($A40="Sonntag"))</formula>
    </cfRule>
  </conditionalFormatting>
  <conditionalFormatting sqref="H40:H44">
    <cfRule type="expression" dxfId="614" priority="57" stopIfTrue="1">
      <formula>OR(($A40="Samstag"),($A40="Sonntag"))</formula>
    </cfRule>
  </conditionalFormatting>
  <conditionalFormatting sqref="H23">
    <cfRule type="expression" dxfId="613" priority="64" stopIfTrue="1">
      <formula>OR(($A23="Samstag"),($A23="Sonntag"))</formula>
    </cfRule>
  </conditionalFormatting>
  <conditionalFormatting sqref="H23">
    <cfRule type="expression" dxfId="612" priority="63" stopIfTrue="1">
      <formula>OR(($A23="Samstag"),($A23="Sonntag"))</formula>
    </cfRule>
  </conditionalFormatting>
  <conditionalFormatting sqref="H26:H30">
    <cfRule type="expression" dxfId="611" priority="62" stopIfTrue="1">
      <formula>OR(($A26="Samstag"),($A26="Sonntag"))</formula>
    </cfRule>
  </conditionalFormatting>
  <conditionalFormatting sqref="H26:H30">
    <cfRule type="expression" dxfId="610" priority="61" stopIfTrue="1">
      <formula>OR(($A26="Samstag"),($A26="Sonntag"))</formula>
    </cfRule>
  </conditionalFormatting>
  <conditionalFormatting sqref="H33:H37">
    <cfRule type="expression" dxfId="609" priority="60" stopIfTrue="1">
      <formula>OR(($A33="Samstag"),($A33="Sonntag"))</formula>
    </cfRule>
  </conditionalFormatting>
  <conditionalFormatting sqref="H33:H37">
    <cfRule type="expression" dxfId="608" priority="59" stopIfTrue="1">
      <formula>OR(($A33="Samstag"),($A33="Sonntag"))</formula>
    </cfRule>
  </conditionalFormatting>
  <conditionalFormatting sqref="H47:H51">
    <cfRule type="expression" dxfId="607" priority="56" stopIfTrue="1">
      <formula>OR(($A47="Samstag"),($A47="Sonntag"))</formula>
    </cfRule>
  </conditionalFormatting>
  <conditionalFormatting sqref="H47:H51">
    <cfRule type="expression" dxfId="606" priority="55" stopIfTrue="1">
      <formula>OR(($A47="Samstag"),($A47="Sonntag"))</formula>
    </cfRule>
  </conditionalFormatting>
  <conditionalFormatting sqref="F23:H52">
    <cfRule type="expression" dxfId="605" priority="54" stopIfTrue="1">
      <formula>OR(($A23="Samstag"),($A23="Sonntag"))</formula>
    </cfRule>
  </conditionalFormatting>
  <conditionalFormatting sqref="F23:H52">
    <cfRule type="expression" dxfId="604" priority="53" stopIfTrue="1">
      <formula>OR(($A23="Samstag"),($A23="Sonntag"))</formula>
    </cfRule>
  </conditionalFormatting>
  <conditionalFormatting sqref="I22:I52">
    <cfRule type="expression" dxfId="603" priority="38">
      <formula>(I22&gt;10)</formula>
    </cfRule>
    <cfRule type="expression" dxfId="602" priority="49" stopIfTrue="1">
      <formula>OR(($A22="Samstag"),($A22="Sonntag"))</formula>
    </cfRule>
    <cfRule type="expression" dxfId="601" priority="50" stopIfTrue="1">
      <formula>OR(($A22="Samstag"),($A22="Sonntag"))</formula>
    </cfRule>
    <cfRule type="expression" dxfId="600" priority="52" stopIfTrue="1">
      <formula>OR(($A22="Samstag"),($A22="Sonntag"))</formula>
    </cfRule>
  </conditionalFormatting>
  <conditionalFormatting sqref="I22:I52">
    <cfRule type="expression" dxfId="599" priority="51" stopIfTrue="1">
      <formula>OR(($A22="Samstag"),($A22="Sonntag"))</formula>
    </cfRule>
  </conditionalFormatting>
  <conditionalFormatting sqref="K56:P59">
    <cfRule type="expression" dxfId="598" priority="48">
      <formula>OR(ISERROR($K$55),($K$55&gt;""))</formula>
    </cfRule>
  </conditionalFormatting>
  <conditionalFormatting sqref="L44:L52">
    <cfRule type="expression" dxfId="597" priority="44" stopIfTrue="1">
      <formula>OR(($A44="Samstag"),($A44="Sonntag"))</formula>
    </cfRule>
  </conditionalFormatting>
  <conditionalFormatting sqref="L44:L52">
    <cfRule type="expression" dxfId="596" priority="47" stopIfTrue="1">
      <formula>OR(($A44="Samstag"),($A44="Sonntag"))</formula>
    </cfRule>
  </conditionalFormatting>
  <conditionalFormatting sqref="L44:L52">
    <cfRule type="expression" dxfId="595" priority="46" stopIfTrue="1">
      <formula>OR(($A44="Samstag"),($A44="Sonntag"))</formula>
    </cfRule>
  </conditionalFormatting>
  <conditionalFormatting sqref="L44:L52">
    <cfRule type="expression" dxfId="594" priority="45" stopIfTrue="1">
      <formula>OR(($A44="Samstag"),($A44="Sonntag"))</formula>
    </cfRule>
  </conditionalFormatting>
  <conditionalFormatting sqref="L22">
    <cfRule type="expression" dxfId="593" priority="43" stopIfTrue="1">
      <formula>OR(($A22="Samstag"),($A22="Sonntag"),($AA22=TRUE()))</formula>
    </cfRule>
  </conditionalFormatting>
  <conditionalFormatting sqref="L22">
    <cfRule type="expression" dxfId="592" priority="42" stopIfTrue="1">
      <formula>OR(($A22="Samstag"),($A22="Sonntag"))</formula>
    </cfRule>
  </conditionalFormatting>
  <conditionalFormatting sqref="L40:L43">
    <cfRule type="expression" dxfId="591" priority="41" stopIfTrue="1">
      <formula>OR(($A40="Samstag"),($A40="Sonntag"),($AA40=TRUE()))</formula>
    </cfRule>
  </conditionalFormatting>
  <conditionalFormatting sqref="L40:L43">
    <cfRule type="expression" dxfId="590" priority="40" stopIfTrue="1">
      <formula>OR(($A40="Samstag"),($A40="Sonntag"))</formula>
    </cfRule>
  </conditionalFormatting>
  <conditionalFormatting sqref="G22:G52">
    <cfRule type="expression" dxfId="589" priority="39">
      <formula>OR(AND(I22&gt;6,G22&lt;TIME(0,30,0)),AND(I22&gt;9,G22&lt;TIME(0,45,0)))</formula>
    </cfRule>
  </conditionalFormatting>
  <conditionalFormatting sqref="J22:K52">
    <cfRule type="expression" dxfId="588" priority="37" stopIfTrue="1">
      <formula>OR(($A22="Samstag"),($A22="Sonntag"),($AA22=TRUE()))</formula>
    </cfRule>
  </conditionalFormatting>
  <conditionalFormatting sqref="J22:J52">
    <cfRule type="expression" dxfId="587" priority="36" stopIfTrue="1">
      <formula>OR(($A22="Samstag"),($A22="Sonntag"))</formula>
    </cfRule>
  </conditionalFormatting>
  <conditionalFormatting sqref="J22:J52">
    <cfRule type="expression" dxfId="586" priority="35" stopIfTrue="1">
      <formula>OR(($A22="Samstag"),($A22="Sonntag"))</formula>
    </cfRule>
  </conditionalFormatting>
  <conditionalFormatting sqref="K32">
    <cfRule type="expression" dxfId="585" priority="34" stopIfTrue="1">
      <formula>OR(($A32="Samstag"),($A32="Sonntag"))</formula>
    </cfRule>
  </conditionalFormatting>
  <conditionalFormatting sqref="K32">
    <cfRule type="expression" dxfId="584" priority="33" stopIfTrue="1">
      <formula>OR(($A32="Samstag"),($A32="Sonntag"))</formula>
    </cfRule>
  </conditionalFormatting>
  <conditionalFormatting sqref="K52">
    <cfRule type="expression" dxfId="583" priority="22" stopIfTrue="1">
      <formula>OR(($A52="Samstag"),($A52="Sonntag"))</formula>
    </cfRule>
  </conditionalFormatting>
  <conditionalFormatting sqref="K52">
    <cfRule type="expression" dxfId="582" priority="21" stopIfTrue="1">
      <formula>OR(($A52="Samstag"),($A52="Sonntag"))</formula>
    </cfRule>
  </conditionalFormatting>
  <conditionalFormatting sqref="K46">
    <cfRule type="expression" dxfId="581" priority="25" stopIfTrue="1">
      <formula>OR(($A46="Samstag"),($A46="Sonntag"))</formula>
    </cfRule>
  </conditionalFormatting>
  <conditionalFormatting sqref="K32">
    <cfRule type="expression" dxfId="580" priority="29" stopIfTrue="1">
      <formula>OR(($A32="Samstag"),($A32="Sonntag"))</formula>
    </cfRule>
  </conditionalFormatting>
  <conditionalFormatting sqref="K24:K25">
    <cfRule type="expression" dxfId="579" priority="32" stopIfTrue="1">
      <formula>OR(($A24="Samstag"),($A24="Sonntag"))</formula>
    </cfRule>
  </conditionalFormatting>
  <conditionalFormatting sqref="K24">
    <cfRule type="expression" dxfId="578" priority="31" stopIfTrue="1">
      <formula>OR(($A24="Samstag"),($A24="Sonntag"))</formula>
    </cfRule>
  </conditionalFormatting>
  <conditionalFormatting sqref="K25">
    <cfRule type="expression" dxfId="577" priority="30" stopIfTrue="1">
      <formula>OR(($A25="Samstag"),($A25="Sonntag"))</formula>
    </cfRule>
  </conditionalFormatting>
  <conditionalFormatting sqref="K39">
    <cfRule type="expression" dxfId="576" priority="27" stopIfTrue="1">
      <formula>OR(($A39="Samstag"),($A39="Sonntag"))</formula>
    </cfRule>
  </conditionalFormatting>
  <conditionalFormatting sqref="K39">
    <cfRule type="expression" dxfId="575" priority="28" stopIfTrue="1">
      <formula>OR(($A39="Samstag"),($A39="Sonntag"))</formula>
    </cfRule>
  </conditionalFormatting>
  <conditionalFormatting sqref="K39">
    <cfRule type="expression" dxfId="574" priority="26" stopIfTrue="1">
      <formula>OR(($A39="Samstag"),($A39="Sonntag"))</formula>
    </cfRule>
  </conditionalFormatting>
  <conditionalFormatting sqref="K46">
    <cfRule type="expression" dxfId="573" priority="24" stopIfTrue="1">
      <formula>OR(($A46="Samstag"),($A46="Sonntag"))</formula>
    </cfRule>
  </conditionalFormatting>
  <conditionalFormatting sqref="K46">
    <cfRule type="expression" dxfId="572" priority="23" stopIfTrue="1">
      <formula>OR(($A46="Samstag"),($A46="Sonntag"))</formula>
    </cfRule>
  </conditionalFormatting>
  <conditionalFormatting sqref="K22:K52">
    <cfRule type="expression" dxfId="571" priority="20" stopIfTrue="1">
      <formula>OR(($A22="Samstag"),($A22="Sonntag"))</formula>
    </cfRule>
  </conditionalFormatting>
  <conditionalFormatting sqref="K22:K52">
    <cfRule type="expression" dxfId="570" priority="19" stopIfTrue="1">
      <formula>OR(($A22="Samstag"),($A22="Sonntag"))</formula>
    </cfRule>
  </conditionalFormatting>
  <conditionalFormatting sqref="K31">
    <cfRule type="expression" dxfId="569" priority="18" stopIfTrue="1">
      <formula>OR(($A31="Samstag"),($A31="Sonntag"))</formula>
    </cfRule>
  </conditionalFormatting>
  <conditionalFormatting sqref="K31">
    <cfRule type="expression" dxfId="568" priority="17" stopIfTrue="1">
      <formula>OR(($A31="Samstag"),($A31="Sonntag"))</formula>
    </cfRule>
  </conditionalFormatting>
  <conditionalFormatting sqref="K38">
    <cfRule type="expression" dxfId="567" priority="16" stopIfTrue="1">
      <formula>OR(($A38="Samstag"),($A38="Sonntag"))</formula>
    </cfRule>
  </conditionalFormatting>
  <conditionalFormatting sqref="K38">
    <cfRule type="expression" dxfId="566" priority="15" stopIfTrue="1">
      <formula>OR(($A38="Samstag"),($A38="Sonntag"))</formula>
    </cfRule>
  </conditionalFormatting>
  <conditionalFormatting sqref="K45">
    <cfRule type="expression" dxfId="565" priority="14" stopIfTrue="1">
      <formula>OR(($A45="Samstag"),($A45="Sonntag"))</formula>
    </cfRule>
  </conditionalFormatting>
  <conditionalFormatting sqref="K45">
    <cfRule type="expression" dxfId="564" priority="13" stopIfTrue="1">
      <formula>OR(($A45="Samstag"),($A45="Sonntag"))</formula>
    </cfRule>
  </conditionalFormatting>
  <conditionalFormatting sqref="K40:K44">
    <cfRule type="expression" dxfId="563" priority="6" stopIfTrue="1">
      <formula>OR(($A40="Samstag"),($A40="Sonntag"))</formula>
    </cfRule>
  </conditionalFormatting>
  <conditionalFormatting sqref="K40:K44">
    <cfRule type="expression" dxfId="562" priority="5" stopIfTrue="1">
      <formula>OR(($A40="Samstag"),($A40="Sonntag"))</formula>
    </cfRule>
  </conditionalFormatting>
  <conditionalFormatting sqref="K23">
    <cfRule type="expression" dxfId="561" priority="12" stopIfTrue="1">
      <formula>OR(($A23="Samstag"),($A23="Sonntag"))</formula>
    </cfRule>
  </conditionalFormatting>
  <conditionalFormatting sqref="K23">
    <cfRule type="expression" dxfId="560" priority="11" stopIfTrue="1">
      <formula>OR(($A23="Samstag"),($A23="Sonntag"))</formula>
    </cfRule>
  </conditionalFormatting>
  <conditionalFormatting sqref="K26:K30">
    <cfRule type="expression" dxfId="559" priority="10" stopIfTrue="1">
      <formula>OR(($A26="Samstag"),($A26="Sonntag"))</formula>
    </cfRule>
  </conditionalFormatting>
  <conditionalFormatting sqref="K26:K30">
    <cfRule type="expression" dxfId="558" priority="9" stopIfTrue="1">
      <formula>OR(($A26="Samstag"),($A26="Sonntag"))</formula>
    </cfRule>
  </conditionalFormatting>
  <conditionalFormatting sqref="K33:K37">
    <cfRule type="expression" dxfId="557" priority="8" stopIfTrue="1">
      <formula>OR(($A33="Samstag"),($A33="Sonntag"))</formula>
    </cfRule>
  </conditionalFormatting>
  <conditionalFormatting sqref="K33:K37">
    <cfRule type="expression" dxfId="556" priority="7" stopIfTrue="1">
      <formula>OR(($A33="Samstag"),($A33="Sonntag"))</formula>
    </cfRule>
  </conditionalFormatting>
  <conditionalFormatting sqref="K47:K51">
    <cfRule type="expression" dxfId="555" priority="4" stopIfTrue="1">
      <formula>OR(($A47="Samstag"),($A47="Sonntag"))</formula>
    </cfRule>
  </conditionalFormatting>
  <conditionalFormatting sqref="K47:K51">
    <cfRule type="expression" dxfId="554" priority="3" stopIfTrue="1">
      <formula>OR(($A47="Samstag"),($A47="Sonntag"))</formula>
    </cfRule>
  </conditionalFormatting>
  <conditionalFormatting sqref="J22:J52">
    <cfRule type="expression" dxfId="553" priority="2" stopIfTrue="1">
      <formula>OR(($A22="Samstag"),($A22="Sonntag"))</formula>
    </cfRule>
  </conditionalFormatting>
  <conditionalFormatting sqref="J22:J52">
    <cfRule type="expression" dxfId="552" priority="1" stopIfTrue="1">
      <formula>OR(($A22="Samstag"),($A22="Sonntag"))</formula>
    </cfRule>
  </conditionalFormatting>
  <dataValidations count="8">
    <dataValidation type="decimal" allowBlank="1" showInputMessage="1" showErrorMessage="1" errorTitle="Eingabefehler" error="Bitte geben Sie eine positive Dezimalzahl ein." sqref="D22:D52">
      <formula1>0</formula1>
      <formula2>20</formula2>
    </dataValidation>
    <dataValidation type="decimal" allowBlank="1" showInputMessage="1" showErrorMessage="1" sqref="I16:M16 I12:M12">
      <formula1>$AA$35</formula1>
      <formula2>$AA$36</formula2>
    </dataValidation>
    <dataValidation showInputMessage="1" showErrorMessage="1" sqref="G10:I10"/>
    <dataValidation type="list" allowBlank="1" showInputMessage="1" showErrorMessage="1" sqref="E17:F17">
      <formula1>$B$22:$B$52</formula1>
    </dataValidation>
    <dataValidation type="list" showInputMessage="1" showErrorMessage="1" sqref="C22:C52">
      <formula1>Auswahlart</formula1>
    </dataValidation>
    <dataValidation type="custom" allowBlank="1" showInputMessage="1" showErrorMessage="1" errorTitle="Eingabefehler" error="Bitte geben Sie eine Uhrzeit ( hh:mm ) zwischen 0:00 und 23:59 ein. Bitte beachten Sie, dass eine Eingabe an Wochenenden sowie an Tagen mit dem Status &quot;bezahlt abwesend&quot; nicht möglich ist." sqref="F22:H52">
      <formula1>AND(ISNUMBER(F22),DAY($B22)&gt;0,NOT(AND($C22="BA",NOT($S$8))),NOT(AND(OR($A22="Sonntag",$A22="Samstag"),NOT($S$7))),F22&gt;=TIME(0,0,0),F22&lt;=TIME(23,59,59))</formula1>
    </dataValidation>
    <dataValidation type="decimal" allowBlank="1" showInputMessage="1" showErrorMessage="1" sqref="M7:O7">
      <formula1>-9999999</formula1>
      <formula2>9999999</formula2>
    </dataValidation>
    <dataValidation type="decimal" allowBlank="1" showInputMessage="1" showErrorMessage="1" sqref="F12 F16 I13:M13 I17:M17">
      <formula1>0</formula1>
      <formula2>45</formula2>
    </dataValidation>
  </dataValidations>
  <pageMargins left="0.43307086614173229" right="0.23622047244094491" top="0.89" bottom="0.54" header="0.4" footer="0.31496062992125984"/>
  <pageSetup paperSize="9" scale="65" orientation="portrait" r:id="rId1"/>
  <headerFooter differentFirst="1" alignWithMargins="0">
    <firstHeader>&amp;L&amp;G</firstHeader>
  </headerFooter>
  <drawing r:id="rId2"/>
  <legacyDrawing r:id="rId3"/>
  <legacyDrawingHF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
    <pageSetUpPr fitToPage="1"/>
  </sheetPr>
  <dimension ref="A1:IR80"/>
  <sheetViews>
    <sheetView showGridLines="0" showRowColHeaders="0" zoomScaleNormal="100" zoomScaleSheetLayoutView="55" workbookViewId="0">
      <selection activeCell="C29" sqref="C29"/>
    </sheetView>
  </sheetViews>
  <sheetFormatPr baseColWidth="10" defaultColWidth="6.25" defaultRowHeight="0" customHeight="1" zeroHeight="1"/>
  <cols>
    <col min="1" max="1" width="5" style="6" customWidth="1"/>
    <col min="2" max="2" width="11.25" style="57" customWidth="1"/>
    <col min="3" max="3" width="7.5" style="57" customWidth="1"/>
    <col min="4" max="8" width="7.75" style="57" customWidth="1"/>
    <col min="9" max="13" width="8.125" style="57" customWidth="1"/>
    <col min="14" max="14" width="7.5" style="57" customWidth="1"/>
    <col min="15" max="15" width="10" style="57" customWidth="1"/>
    <col min="16" max="16" width="7.5" style="24" customWidth="1"/>
    <col min="17" max="17" width="5" style="24" customWidth="1"/>
    <col min="18" max="18" width="10.125" style="6" customWidth="1"/>
    <col min="19" max="19" width="7.5" style="6" bestFit="1" customWidth="1"/>
    <col min="20" max="20" width="8.5" style="6" bestFit="1" customWidth="1"/>
    <col min="21" max="21" width="7.25" style="6" bestFit="1" customWidth="1"/>
    <col min="22" max="22" width="7.75" style="6" bestFit="1" customWidth="1"/>
    <col min="23" max="23" width="7.5" style="6" bestFit="1" customWidth="1"/>
    <col min="24" max="24" width="8.125" style="6" bestFit="1" customWidth="1"/>
    <col min="25" max="25" width="7.25" style="6" bestFit="1" customWidth="1"/>
    <col min="26" max="26" width="7.25" style="6" customWidth="1"/>
    <col min="27" max="27" width="10.5" style="68" customWidth="1"/>
    <col min="28" max="28" width="9.875" style="68" customWidth="1"/>
    <col min="29" max="29" width="11.125" style="6" customWidth="1"/>
    <col min="30" max="31" width="11.125" style="95" customWidth="1"/>
    <col min="32" max="34" width="6.25" style="96" customWidth="1"/>
    <col min="35" max="252" width="6.25" style="3" customWidth="1"/>
    <col min="253" max="16384" width="6.25" style="3"/>
  </cols>
  <sheetData>
    <row r="1" spans="1:34" ht="11.25" customHeight="1">
      <c r="A1" s="3"/>
      <c r="B1" s="92"/>
      <c r="C1" s="92"/>
      <c r="D1" s="92"/>
      <c r="E1" s="92"/>
      <c r="F1" s="92"/>
      <c r="G1" s="92"/>
      <c r="H1" s="92"/>
      <c r="I1" s="92"/>
      <c r="J1" s="92"/>
      <c r="K1" s="92"/>
      <c r="L1" s="92"/>
      <c r="M1" s="92"/>
      <c r="N1" s="92"/>
      <c r="O1" s="92"/>
      <c r="P1" s="8"/>
      <c r="Q1" s="154"/>
      <c r="R1" s="154"/>
      <c r="S1" s="69"/>
      <c r="T1" s="69"/>
      <c r="U1" s="69"/>
      <c r="V1" s="3"/>
      <c r="W1" s="3"/>
      <c r="X1" s="3"/>
      <c r="Y1" s="3"/>
      <c r="Z1" s="3"/>
      <c r="AA1" s="3"/>
      <c r="AB1" s="3"/>
      <c r="AC1" s="3"/>
      <c r="AD1" s="3"/>
      <c r="AE1" s="3"/>
      <c r="AF1" s="3"/>
      <c r="AG1" s="3"/>
      <c r="AH1" s="3"/>
    </row>
    <row r="2" spans="1:34" ht="18.75" customHeight="1">
      <c r="A2" s="3"/>
      <c r="B2" s="221" t="s">
        <v>9</v>
      </c>
      <c r="C2" s="221"/>
      <c r="D2" s="221"/>
      <c r="E2" s="221"/>
      <c r="F2" s="221"/>
      <c r="G2" s="221"/>
      <c r="H2" s="221"/>
      <c r="I2" s="221" t="s">
        <v>39</v>
      </c>
      <c r="J2" s="221"/>
      <c r="K2" s="278">
        <f>Übersicht!K2</f>
        <v>2017</v>
      </c>
      <c r="L2" s="278"/>
      <c r="M2" s="93"/>
      <c r="N2" s="93"/>
      <c r="O2" s="93"/>
      <c r="P2" s="94"/>
      <c r="Q2" s="154"/>
      <c r="R2" s="154"/>
      <c r="S2" s="69"/>
      <c r="T2" s="69"/>
      <c r="U2" s="69"/>
      <c r="V2" s="3"/>
      <c r="W2" s="3"/>
      <c r="X2" s="3"/>
      <c r="Y2" s="3"/>
      <c r="Z2" s="3"/>
      <c r="AA2" s="3"/>
      <c r="AB2" s="3"/>
      <c r="AC2" s="3"/>
      <c r="AD2" s="3"/>
      <c r="AE2" s="3"/>
      <c r="AF2" s="3"/>
      <c r="AG2" s="3"/>
      <c r="AH2" s="3"/>
    </row>
    <row r="3" spans="1:34" ht="11.25" customHeight="1">
      <c r="A3" s="3"/>
      <c r="B3" s="10"/>
      <c r="C3" s="10"/>
      <c r="D3" s="10"/>
      <c r="E3" s="10"/>
      <c r="F3" s="10"/>
      <c r="G3" s="10"/>
      <c r="H3" s="10"/>
      <c r="I3" s="10"/>
      <c r="J3" s="10"/>
      <c r="K3" s="10"/>
      <c r="L3" s="10"/>
      <c r="M3" s="10"/>
      <c r="N3" s="10"/>
      <c r="O3" s="10"/>
      <c r="P3" s="8"/>
      <c r="Q3" s="154"/>
      <c r="R3" s="154"/>
      <c r="S3" s="69"/>
      <c r="T3" s="69"/>
      <c r="U3" s="69"/>
      <c r="V3" s="3"/>
      <c r="W3" s="3"/>
      <c r="X3" s="3"/>
      <c r="Y3" s="3"/>
      <c r="Z3" s="3"/>
      <c r="AA3" s="3"/>
      <c r="AB3" s="3"/>
      <c r="AC3" s="3"/>
      <c r="AD3" s="3"/>
      <c r="AE3" s="3"/>
      <c r="AF3" s="3"/>
      <c r="AG3" s="3"/>
      <c r="AH3" s="3"/>
    </row>
    <row r="4" spans="1:34" ht="15" customHeight="1">
      <c r="A4" s="3"/>
      <c r="B4" s="11"/>
      <c r="C4" s="12"/>
      <c r="D4" s="12"/>
      <c r="E4" s="12"/>
      <c r="F4" s="12"/>
      <c r="G4" s="12"/>
      <c r="H4" s="12"/>
      <c r="I4" s="12"/>
      <c r="J4" s="12"/>
      <c r="K4" s="12"/>
      <c r="L4" s="12"/>
      <c r="M4" s="12"/>
      <c r="N4" s="12"/>
      <c r="O4" s="12"/>
      <c r="P4" s="13"/>
      <c r="Q4" s="154"/>
      <c r="R4" s="154"/>
      <c r="S4" s="69"/>
      <c r="T4" s="69"/>
      <c r="U4" s="69"/>
      <c r="V4" s="3"/>
      <c r="W4" s="3"/>
      <c r="X4" s="3"/>
      <c r="Y4" s="3"/>
      <c r="Z4" s="3"/>
      <c r="AA4" s="3"/>
      <c r="AB4" s="3"/>
      <c r="AC4" s="3"/>
      <c r="AD4" s="3"/>
      <c r="AE4" s="3"/>
      <c r="AF4" s="3"/>
      <c r="AG4" s="3"/>
      <c r="AH4" s="3"/>
    </row>
    <row r="5" spans="1:34" ht="22.5" customHeight="1">
      <c r="A5" s="3"/>
      <c r="B5" s="107"/>
      <c r="C5" s="25" t="s">
        <v>3</v>
      </c>
      <c r="D5" s="15"/>
      <c r="E5" s="258" t="str">
        <f>IF(Übersicht!E5&lt;&gt;"",Übersicht!E5,"")</f>
        <v>Jansen, David</v>
      </c>
      <c r="F5" s="259"/>
      <c r="G5" s="259"/>
      <c r="H5" s="260"/>
      <c r="I5" s="16"/>
      <c r="J5" s="25" t="s">
        <v>65</v>
      </c>
      <c r="K5" s="16"/>
      <c r="M5" s="261">
        <f>IF(Übersicht!M5&lt;&gt;"",Übersicht!M5,"")</f>
        <v>419510</v>
      </c>
      <c r="N5" s="262"/>
      <c r="O5" s="263"/>
      <c r="P5" s="17"/>
      <c r="Q5" s="155"/>
      <c r="R5" s="155"/>
      <c r="S5" s="68"/>
      <c r="T5" s="68"/>
      <c r="V5" s="3"/>
      <c r="W5" s="3"/>
      <c r="X5" s="3"/>
      <c r="Y5" s="3"/>
      <c r="Z5" s="3"/>
      <c r="AA5" s="3"/>
      <c r="AB5" s="3"/>
      <c r="AC5" s="3"/>
      <c r="AD5" s="3"/>
      <c r="AE5" s="3"/>
      <c r="AF5" s="3"/>
      <c r="AG5" s="3"/>
      <c r="AH5" s="3"/>
    </row>
    <row r="6" spans="1:34" ht="15">
      <c r="A6" s="3"/>
      <c r="B6" s="18"/>
      <c r="C6" s="19"/>
      <c r="D6" s="19"/>
      <c r="E6" s="19"/>
      <c r="F6" s="19"/>
      <c r="G6" s="20"/>
      <c r="H6" s="20"/>
      <c r="I6" s="16"/>
      <c r="J6" s="16"/>
      <c r="P6" s="23"/>
      <c r="Q6" s="156"/>
      <c r="R6" s="156"/>
      <c r="V6" s="3"/>
      <c r="W6" s="3"/>
      <c r="X6" s="3"/>
      <c r="Y6" s="3"/>
      <c r="Z6" s="3"/>
      <c r="AA6" s="3"/>
      <c r="AB6" s="3"/>
      <c r="AC6" s="3"/>
      <c r="AD6" s="3"/>
      <c r="AE6" s="3"/>
      <c r="AF6" s="3"/>
      <c r="AG6" s="3"/>
      <c r="AH6" s="3"/>
    </row>
    <row r="7" spans="1:34" ht="22.5" customHeight="1">
      <c r="A7" s="3"/>
      <c r="B7" s="107"/>
      <c r="C7" s="25" t="s">
        <v>7</v>
      </c>
      <c r="D7" s="16"/>
      <c r="E7" s="258" t="str">
        <f>IF(Übersicht!E7&lt;&gt;"",Übersicht!E7,"")</f>
        <v>Hiwi</v>
      </c>
      <c r="F7" s="259"/>
      <c r="G7" s="259"/>
      <c r="H7" s="260"/>
      <c r="I7" s="16"/>
      <c r="J7" s="25" t="s">
        <v>74</v>
      </c>
      <c r="K7" s="16"/>
      <c r="M7" s="272">
        <f>September!K54</f>
        <v>-129.25</v>
      </c>
      <c r="N7" s="285"/>
      <c r="O7" s="286"/>
      <c r="P7" s="23"/>
      <c r="Q7" s="156"/>
      <c r="R7" s="6" t="s">
        <v>81</v>
      </c>
      <c r="S7" s="211" t="b">
        <f>OR(IF(E7&gt;"",IF(MID(E7,LEN(E7)-1,2)="WE","WAHR",FALSE),FALSE),IF(E7&gt;"",IF(MID(E7,LEN(E7)-2,3)="WEF","WAHR",FALSE),FALSE))</f>
        <v>0</v>
      </c>
      <c r="V7" s="3"/>
      <c r="W7" s="3"/>
      <c r="X7" s="3"/>
      <c r="Y7" s="3"/>
      <c r="Z7" s="3"/>
      <c r="AA7" s="3"/>
      <c r="AB7" s="3"/>
      <c r="AC7" s="3"/>
      <c r="AD7" s="3"/>
      <c r="AE7" s="3"/>
      <c r="AF7" s="3"/>
      <c r="AG7" s="3"/>
      <c r="AH7" s="3"/>
    </row>
    <row r="8" spans="1:34" ht="22.5" customHeight="1">
      <c r="A8" s="3"/>
      <c r="B8" s="186"/>
      <c r="C8" s="187"/>
      <c r="D8" s="187"/>
      <c r="E8" s="187"/>
      <c r="F8" s="188"/>
      <c r="G8" s="189"/>
      <c r="H8" s="189"/>
      <c r="I8" s="189"/>
      <c r="J8" s="61"/>
      <c r="K8" s="61"/>
      <c r="L8" s="61"/>
      <c r="M8" s="61"/>
      <c r="N8" s="61"/>
      <c r="O8" s="61"/>
      <c r="P8" s="190"/>
      <c r="Q8" s="156"/>
      <c r="R8" s="6" t="s">
        <v>82</v>
      </c>
      <c r="S8" s="211" t="b">
        <f>IF(E7&gt;"",IF(MID(E7,LEN(E7)-2,3)="WEF","WAHR",FALSE),FALSE)</f>
        <v>0</v>
      </c>
      <c r="V8" s="3"/>
      <c r="W8" s="3"/>
      <c r="X8" s="3"/>
      <c r="Y8" s="3"/>
      <c r="Z8" s="3"/>
      <c r="AA8" s="3"/>
      <c r="AB8" s="3"/>
      <c r="AC8" s="3"/>
      <c r="AD8" s="3"/>
      <c r="AE8" s="3"/>
      <c r="AF8" s="3"/>
      <c r="AG8" s="3"/>
      <c r="AH8" s="3"/>
    </row>
    <row r="9" spans="1:34" ht="22.5" customHeight="1">
      <c r="A9" s="3"/>
      <c r="B9" s="107"/>
      <c r="C9" s="25" t="s">
        <v>73</v>
      </c>
      <c r="D9" s="16"/>
      <c r="E9" s="191" t="str">
        <f>IF(Übersicht!E11&lt;&gt;"",Übersicht!E11,"")</f>
        <v>Innogy Abwasser</v>
      </c>
      <c r="F9" s="192"/>
      <c r="G9" s="192"/>
      <c r="H9" s="192"/>
      <c r="I9" s="192"/>
      <c r="J9" s="192"/>
      <c r="K9" s="192"/>
      <c r="L9" s="192"/>
      <c r="M9" s="192"/>
      <c r="N9" s="192"/>
      <c r="O9" s="193"/>
      <c r="P9" s="23"/>
      <c r="Q9" s="156"/>
      <c r="R9" s="156"/>
      <c r="V9" s="3"/>
      <c r="W9" s="3"/>
      <c r="X9" s="3"/>
      <c r="Y9" s="3"/>
      <c r="Z9" s="3"/>
      <c r="AA9" s="3"/>
      <c r="AB9" s="3"/>
      <c r="AC9" s="3"/>
      <c r="AD9" s="3"/>
      <c r="AE9" s="3"/>
      <c r="AF9" s="3"/>
      <c r="AG9" s="3"/>
      <c r="AH9" s="3"/>
    </row>
    <row r="10" spans="1:34" ht="15">
      <c r="A10" s="3"/>
      <c r="B10" s="14"/>
      <c r="C10" s="25"/>
      <c r="D10" s="25"/>
      <c r="E10" s="25"/>
      <c r="F10" s="19"/>
      <c r="G10" s="26"/>
      <c r="H10" s="26"/>
      <c r="I10" s="26"/>
      <c r="P10" s="23"/>
      <c r="Q10" s="157"/>
      <c r="R10" s="157"/>
      <c r="S10" s="68"/>
      <c r="T10" s="68"/>
      <c r="U10" s="68"/>
      <c r="V10" s="3"/>
      <c r="W10" s="3"/>
      <c r="X10" s="3"/>
      <c r="Y10" s="3"/>
      <c r="Z10" s="3"/>
      <c r="AA10" s="3"/>
      <c r="AB10" s="3"/>
      <c r="AC10" s="3"/>
      <c r="AD10" s="3"/>
      <c r="AE10" s="3"/>
      <c r="AF10" s="3"/>
      <c r="AG10" s="3"/>
      <c r="AH10" s="3"/>
    </row>
    <row r="11" spans="1:34" ht="15" customHeight="1">
      <c r="A11" s="3"/>
      <c r="B11" s="112"/>
      <c r="C11" s="113"/>
      <c r="D11" s="114"/>
      <c r="E11" s="114"/>
      <c r="F11" s="115"/>
      <c r="G11" s="115"/>
      <c r="H11" s="116" t="s">
        <v>42</v>
      </c>
      <c r="I11" s="117" t="s">
        <v>12</v>
      </c>
      <c r="J11" s="118" t="s">
        <v>13</v>
      </c>
      <c r="K11" s="119" t="s">
        <v>14</v>
      </c>
      <c r="L11" s="117" t="s">
        <v>15</v>
      </c>
      <c r="M11" s="117" t="s">
        <v>16</v>
      </c>
      <c r="N11" s="120"/>
      <c r="O11" s="150"/>
      <c r="P11" s="23"/>
      <c r="Q11" s="156"/>
      <c r="R11" s="156"/>
      <c r="V11" s="3"/>
      <c r="W11" s="3"/>
      <c r="X11" s="3"/>
      <c r="Y11" s="3"/>
      <c r="Z11" s="3"/>
      <c r="AA11" s="3"/>
      <c r="AB11" s="3"/>
      <c r="AC11" s="3"/>
      <c r="AD11" s="3"/>
      <c r="AE11" s="3"/>
      <c r="AF11" s="3"/>
      <c r="AG11" s="3"/>
      <c r="AH11" s="3"/>
    </row>
    <row r="12" spans="1:34" ht="22.5" customHeight="1">
      <c r="A12" s="3"/>
      <c r="B12" s="112"/>
      <c r="C12" s="14" t="s">
        <v>30</v>
      </c>
      <c r="D12" s="21"/>
      <c r="E12" s="22"/>
      <c r="F12" s="152">
        <f>IF(September!F16&gt;0,September!F16,September!F12)</f>
        <v>10</v>
      </c>
      <c r="G12" s="92"/>
      <c r="H12" s="121" t="s">
        <v>43</v>
      </c>
      <c r="I12" s="122">
        <f>$F$12/5</f>
        <v>2</v>
      </c>
      <c r="J12" s="123">
        <f>$F$12/5</f>
        <v>2</v>
      </c>
      <c r="K12" s="123">
        <f>$F$12/5</f>
        <v>2</v>
      </c>
      <c r="L12" s="123">
        <f>$F$12/5</f>
        <v>2</v>
      </c>
      <c r="M12" s="124">
        <f>$F$12/5</f>
        <v>2</v>
      </c>
      <c r="N12" s="125" t="s">
        <v>45</v>
      </c>
      <c r="O12" s="150"/>
      <c r="P12" s="23"/>
      <c r="Q12" s="156"/>
      <c r="R12" s="156"/>
      <c r="V12" s="3"/>
      <c r="W12" s="3"/>
      <c r="X12" s="3"/>
      <c r="Y12" s="3"/>
      <c r="Z12" s="3"/>
      <c r="AA12" s="3"/>
      <c r="AB12" s="3"/>
      <c r="AC12" s="3"/>
      <c r="AD12" s="3"/>
      <c r="AE12" s="3"/>
      <c r="AF12" s="3"/>
      <c r="AG12" s="3"/>
      <c r="AH12" s="3"/>
    </row>
    <row r="13" spans="1:34" ht="22.5" customHeight="1">
      <c r="A13" s="3"/>
      <c r="B13" s="112"/>
      <c r="C13" s="126"/>
      <c r="D13" s="151"/>
      <c r="E13" s="151"/>
      <c r="F13" s="127"/>
      <c r="G13" s="127"/>
      <c r="H13" s="128" t="s">
        <v>44</v>
      </c>
      <c r="I13" s="108"/>
      <c r="J13" s="109"/>
      <c r="K13" s="109"/>
      <c r="L13" s="109"/>
      <c r="M13" s="110"/>
      <c r="N13" s="88">
        <f>SUM(I13:M13)</f>
        <v>0</v>
      </c>
      <c r="O13" s="150"/>
      <c r="P13" s="23"/>
      <c r="Q13" s="156"/>
      <c r="R13" s="156"/>
      <c r="V13" s="3"/>
      <c r="W13" s="3"/>
      <c r="X13" s="3"/>
      <c r="Y13" s="3"/>
      <c r="Z13" s="3"/>
      <c r="AA13" s="3"/>
      <c r="AB13" s="3"/>
      <c r="AC13" s="3"/>
      <c r="AD13" s="3"/>
      <c r="AE13" s="3"/>
      <c r="AF13" s="3"/>
      <c r="AG13" s="3"/>
      <c r="AH13" s="3"/>
    </row>
    <row r="14" spans="1:34" ht="18.75" customHeight="1">
      <c r="A14" s="3"/>
      <c r="B14" s="112"/>
      <c r="C14" s="149" t="s">
        <v>80</v>
      </c>
      <c r="D14" s="25"/>
      <c r="E14" s="27"/>
      <c r="F14" s="7"/>
      <c r="G14" s="7"/>
      <c r="O14" s="150"/>
      <c r="P14" s="23"/>
      <c r="Q14" s="156"/>
      <c r="R14" s="156"/>
      <c r="V14" s="3"/>
      <c r="W14" s="3"/>
      <c r="X14" s="3"/>
      <c r="Y14" s="3"/>
      <c r="Z14" s="3"/>
      <c r="AA14" s="3"/>
      <c r="AB14" s="3"/>
      <c r="AC14" s="3"/>
      <c r="AD14" s="3"/>
      <c r="AE14" s="3"/>
      <c r="AF14" s="3"/>
      <c r="AG14" s="3"/>
      <c r="AH14" s="3"/>
    </row>
    <row r="15" spans="1:34" ht="15" customHeight="1">
      <c r="A15" s="3"/>
      <c r="B15" s="112"/>
      <c r="C15" s="111"/>
      <c r="D15" s="129"/>
      <c r="E15" s="130"/>
      <c r="F15" s="130"/>
      <c r="G15" s="131"/>
      <c r="H15" s="132" t="s">
        <v>49</v>
      </c>
      <c r="I15" s="133" t="s">
        <v>12</v>
      </c>
      <c r="J15" s="134" t="s">
        <v>13</v>
      </c>
      <c r="K15" s="135" t="s">
        <v>14</v>
      </c>
      <c r="L15" s="133" t="s">
        <v>15</v>
      </c>
      <c r="M15" s="133" t="s">
        <v>16</v>
      </c>
      <c r="N15" s="136"/>
      <c r="O15" s="150"/>
      <c r="P15" s="23"/>
      <c r="Q15" s="156"/>
      <c r="R15" s="156"/>
      <c r="V15" s="3"/>
      <c r="W15" s="3"/>
      <c r="X15" s="3"/>
      <c r="Y15" s="3"/>
      <c r="Z15" s="3"/>
      <c r="AA15" s="3"/>
      <c r="AB15" s="3"/>
      <c r="AC15" s="3"/>
      <c r="AD15" s="3"/>
      <c r="AE15" s="3"/>
      <c r="AF15" s="3"/>
      <c r="AG15" s="3"/>
      <c r="AH15" s="3"/>
    </row>
    <row r="16" spans="1:34" ht="23.25" customHeight="1">
      <c r="A16" s="3"/>
      <c r="B16" s="112"/>
      <c r="C16" s="147" t="s">
        <v>48</v>
      </c>
      <c r="D16" s="148"/>
      <c r="E16" s="148"/>
      <c r="F16" s="152"/>
      <c r="G16" s="137"/>
      <c r="H16" s="138" t="s">
        <v>43</v>
      </c>
      <c r="I16" s="139">
        <f>$F$16/5</f>
        <v>0</v>
      </c>
      <c r="J16" s="140">
        <f>$F$16/5</f>
        <v>0</v>
      </c>
      <c r="K16" s="140">
        <f>$F$16/5</f>
        <v>0</v>
      </c>
      <c r="L16" s="140">
        <f>$F$16/5</f>
        <v>0</v>
      </c>
      <c r="M16" s="141">
        <f>$F$16/5</f>
        <v>0</v>
      </c>
      <c r="N16" s="142" t="s">
        <v>45</v>
      </c>
      <c r="O16" s="150"/>
      <c r="P16" s="23"/>
      <c r="Q16" s="156"/>
      <c r="R16" s="156"/>
      <c r="V16" s="3"/>
      <c r="W16" s="3"/>
      <c r="X16" s="3"/>
      <c r="Y16" s="3"/>
      <c r="Z16" s="3"/>
      <c r="AA16" s="3"/>
      <c r="AB16" s="3"/>
      <c r="AC16" s="3"/>
      <c r="AD16" s="3"/>
      <c r="AE16" s="3"/>
      <c r="AF16" s="3"/>
      <c r="AG16" s="3"/>
      <c r="AH16" s="3"/>
    </row>
    <row r="17" spans="1:252" ht="22.5" customHeight="1">
      <c r="A17" s="3"/>
      <c r="B17" s="112"/>
      <c r="C17" s="143" t="s">
        <v>47</v>
      </c>
      <c r="D17" s="144"/>
      <c r="E17" s="279"/>
      <c r="F17" s="279"/>
      <c r="G17" s="153" t="b">
        <f>IF($E$17&lt;&gt;0,TRUE(),FALSE())</f>
        <v>0</v>
      </c>
      <c r="H17" s="145" t="s">
        <v>44</v>
      </c>
      <c r="I17" s="108"/>
      <c r="J17" s="109"/>
      <c r="K17" s="109"/>
      <c r="L17" s="109"/>
      <c r="M17" s="110"/>
      <c r="N17" s="146">
        <f>SUM(I17:M17)</f>
        <v>0</v>
      </c>
      <c r="O17" s="150"/>
      <c r="P17" s="23"/>
      <c r="Q17" s="156"/>
      <c r="R17" s="156"/>
      <c r="V17" s="3"/>
      <c r="W17" s="3"/>
      <c r="X17" s="3"/>
      <c r="Y17" s="3"/>
      <c r="Z17" s="3"/>
      <c r="AA17" s="3"/>
      <c r="AB17" s="3"/>
      <c r="AC17" s="3"/>
      <c r="AD17" s="3"/>
      <c r="AE17" s="3"/>
      <c r="AF17" s="3"/>
      <c r="AG17" s="3"/>
      <c r="AH17" s="3"/>
    </row>
    <row r="18" spans="1:252" ht="15">
      <c r="A18" s="3"/>
      <c r="B18" s="85"/>
      <c r="C18" s="86"/>
      <c r="D18" s="87"/>
      <c r="E18" s="87"/>
      <c r="F18" s="87"/>
      <c r="G18" s="87"/>
      <c r="H18" s="87"/>
      <c r="I18" s="87"/>
      <c r="J18" s="87"/>
      <c r="K18" s="9"/>
      <c r="L18" s="9"/>
      <c r="M18" s="9"/>
      <c r="N18" s="9"/>
      <c r="O18" s="9"/>
      <c r="P18" s="28"/>
      <c r="Q18" s="156"/>
      <c r="R18" s="156"/>
      <c r="V18" s="3"/>
      <c r="W18" s="3"/>
      <c r="X18" s="3"/>
      <c r="Y18" s="3"/>
      <c r="Z18" s="3"/>
      <c r="AA18" s="3"/>
      <c r="AB18" s="3"/>
      <c r="AC18" s="3"/>
      <c r="AD18" s="3"/>
      <c r="AE18" s="3"/>
      <c r="AF18" s="3"/>
      <c r="AG18" s="3"/>
      <c r="AH18" s="3"/>
    </row>
    <row r="19" spans="1:252" ht="15.75" thickBot="1">
      <c r="A19" s="29"/>
      <c r="B19" s="164"/>
      <c r="C19" s="68"/>
      <c r="D19" s="68"/>
      <c r="E19" s="68"/>
      <c r="F19" s="68"/>
      <c r="G19" s="68"/>
      <c r="H19" s="68"/>
      <c r="I19" s="68"/>
      <c r="J19" s="68"/>
      <c r="K19" s="68"/>
      <c r="L19" s="68"/>
      <c r="M19" s="68"/>
      <c r="N19" s="68"/>
      <c r="O19" s="68"/>
      <c r="P19" s="68"/>
      <c r="Q19" s="157"/>
      <c r="R19" s="157"/>
      <c r="S19" s="68"/>
      <c r="T19" s="68"/>
      <c r="U19" s="68"/>
    </row>
    <row r="20" spans="1:252" s="4" customFormat="1" ht="18.75" customHeight="1">
      <c r="A20" s="30"/>
      <c r="B20" s="202"/>
      <c r="C20" s="264" t="s">
        <v>29</v>
      </c>
      <c r="D20" s="265"/>
      <c r="E20" s="265"/>
      <c r="F20" s="266" t="s">
        <v>67</v>
      </c>
      <c r="G20" s="267"/>
      <c r="H20" s="268"/>
      <c r="I20" s="269" t="s">
        <v>25</v>
      </c>
      <c r="J20" s="269"/>
      <c r="K20" s="270"/>
      <c r="L20" s="271"/>
      <c r="M20" s="269"/>
      <c r="N20" s="269"/>
      <c r="O20" s="269"/>
      <c r="P20" s="270"/>
      <c r="Q20" s="158"/>
      <c r="R20" s="158"/>
      <c r="S20" s="70" t="s">
        <v>22</v>
      </c>
      <c r="T20" s="70" t="s">
        <v>23</v>
      </c>
      <c r="U20" s="70" t="s">
        <v>23</v>
      </c>
      <c r="V20" s="71" t="s">
        <v>24</v>
      </c>
      <c r="W20" s="71" t="s">
        <v>22</v>
      </c>
      <c r="X20" s="71" t="s">
        <v>22</v>
      </c>
      <c r="Y20" s="71"/>
      <c r="Z20" s="71"/>
      <c r="AA20" s="70"/>
      <c r="AB20" s="70"/>
      <c r="AC20" s="71"/>
      <c r="AD20" s="97"/>
      <c r="AE20" s="97"/>
      <c r="AF20" s="98"/>
      <c r="AG20" s="98"/>
      <c r="AH20" s="98"/>
    </row>
    <row r="21" spans="1:252" ht="18.75" customHeight="1">
      <c r="A21" s="31">
        <f>DATEVALUE(I2&amp;K2)</f>
        <v>43009</v>
      </c>
      <c r="B21" s="203" t="s">
        <v>0</v>
      </c>
      <c r="C21" s="1" t="s">
        <v>8</v>
      </c>
      <c r="D21" s="5"/>
      <c r="E21" s="204" t="s">
        <v>18</v>
      </c>
      <c r="F21" s="173" t="s">
        <v>1</v>
      </c>
      <c r="G21" s="174" t="s">
        <v>6</v>
      </c>
      <c r="H21" s="175" t="s">
        <v>2</v>
      </c>
      <c r="I21" s="204" t="s">
        <v>17</v>
      </c>
      <c r="J21" s="2" t="s">
        <v>21</v>
      </c>
      <c r="K21" s="204" t="s">
        <v>19</v>
      </c>
      <c r="L21" s="275" t="s">
        <v>71</v>
      </c>
      <c r="M21" s="276"/>
      <c r="N21" s="276"/>
      <c r="O21" s="276"/>
      <c r="P21" s="277"/>
      <c r="Q21" s="159"/>
      <c r="R21" s="159"/>
      <c r="S21" s="72" t="s">
        <v>11</v>
      </c>
      <c r="T21" s="72" t="s">
        <v>1</v>
      </c>
      <c r="U21" s="72" t="s">
        <v>6</v>
      </c>
      <c r="V21" s="73" t="s">
        <v>2</v>
      </c>
      <c r="W21" s="73" t="s">
        <v>20</v>
      </c>
      <c r="X21" s="74" t="s">
        <v>21</v>
      </c>
      <c r="Y21" s="73" t="s">
        <v>19</v>
      </c>
      <c r="Z21" s="75"/>
    </row>
    <row r="22" spans="1:252" ht="20.25" customHeight="1">
      <c r="A22" s="32" t="str">
        <f t="shared" ref="A22:A52" si="0">TEXT(B22,"TTTT")</f>
        <v>Sonntag</v>
      </c>
      <c r="B22" s="33">
        <f>($A$21+ROW(B1)-1)*(MONTH($A$21+1)=MONTH($A$21))</f>
        <v>43009</v>
      </c>
      <c r="C22" s="185" t="str">
        <f>IF(OR(A22="Samstag",A22="Sonntag"),"",IF(COUNTIF(Übersicht!C$16:C$30,B22)&gt;0,"BA",""))</f>
        <v/>
      </c>
      <c r="D22" s="34"/>
      <c r="E22" s="172" t="str">
        <f>IF(OR(A22="Samstag",A22="Sonntag",C22="BA"),"",
IF(C22="SV",D22,
IF(OR($E$17="",B22&lt;$E$17),IF($N$13=0,HLOOKUP($A22,$I$11:$M$12,2,FALSE),IF($N$13=$F$12,HLOOKUP($A22,$I$11:$M$13,3,FALSE),"FEHLER")),
IF($N$17=0,HLOOKUP($A22,$I$15:$M$16,2,FALSE),IF($N$17=$F$16,HLOOKUP($A22,$I$15:$M$17,3,FALSE),"FEHLER")))))</f>
        <v/>
      </c>
      <c r="F22" s="195"/>
      <c r="G22" s="196"/>
      <c r="H22" s="197"/>
      <c r="I22" s="38">
        <f t="shared" ref="I22:I52" si="1">IF(OR(C22="K",C22="U",C22="F"),E22,IF(C22="SU",IF(H22="",D22,((H22-F22)-G22)+D22),IF(AND(H22="",E22=""),0,((H22-F22)-G22)*24)))</f>
        <v>0</v>
      </c>
      <c r="J22" s="35">
        <f>IF(E22="Fehler",0,IF(E22="",I22,I22-E22))</f>
        <v>0</v>
      </c>
      <c r="K22" s="36">
        <f>M7+J22</f>
        <v>-129.25</v>
      </c>
      <c r="L22" s="251"/>
      <c r="M22" s="252"/>
      <c r="N22" s="252"/>
      <c r="O22" s="252"/>
      <c r="P22" s="253"/>
      <c r="Q22" s="89"/>
      <c r="R22" s="165"/>
      <c r="S22" s="76"/>
      <c r="T22" s="76"/>
      <c r="U22" s="76"/>
      <c r="V22" s="76"/>
      <c r="W22" s="76"/>
      <c r="X22" s="76"/>
      <c r="Y22" s="76"/>
      <c r="Z22" s="76"/>
      <c r="AB22" s="166"/>
      <c r="AE22" s="99"/>
    </row>
    <row r="23" spans="1:252" s="96" customFormat="1" ht="20.25" customHeight="1">
      <c r="A23" s="32" t="str">
        <f t="shared" si="0"/>
        <v>Montag</v>
      </c>
      <c r="B23" s="37">
        <f t="shared" ref="B23:B52" si="2">($A$21+ROW(B2)-1)*(MONTH(B22+1)=MONTH($A$21))</f>
        <v>43010</v>
      </c>
      <c r="C23" s="185" t="str">
        <f>IF(OR(A23="Samstag",A23="Sonntag"),"",IF(COUNTIF(Übersicht!C$16:C$30,B23)&gt;0,"BA",""))</f>
        <v/>
      </c>
      <c r="D23" s="38"/>
      <c r="E23" s="172">
        <f>IF(OR(A23="Samstag",A23="Sonntag",C23="BA"),"",
IF(C23="SV",D23,
IF(OR($E$17="",B23&lt;$E$17),IF($N$13=0,HLOOKUP($A23,$I$11:$M$12,2,FALSE),IF($N$13=$F$12,HLOOKUP($A23,$I$11:$M$13,3,FALSE),"FEHLER")),
IF($N$17=0,HLOOKUP($A23,$I$15:$M$16,2,FALSE),IF($N$17=$F$16,HLOOKUP($A23,$I$15:$M$17,3,FALSE),"FEHLER")))))</f>
        <v>2</v>
      </c>
      <c r="F23" s="176"/>
      <c r="G23" s="177"/>
      <c r="H23" s="178"/>
      <c r="I23" s="38">
        <f t="shared" si="1"/>
        <v>0</v>
      </c>
      <c r="J23" s="35">
        <f t="shared" ref="J23:J52" si="3">IF(E23="Fehler",0,IF(E23="",I23,I23-E23))</f>
        <v>-2</v>
      </c>
      <c r="K23" s="36">
        <f>SUM(K22,J23)</f>
        <v>-131.25</v>
      </c>
      <c r="L23" s="251"/>
      <c r="M23" s="252"/>
      <c r="N23" s="252"/>
      <c r="O23" s="252"/>
      <c r="P23" s="253"/>
      <c r="Q23" s="89"/>
      <c r="R23" s="165"/>
      <c r="S23" s="76"/>
      <c r="T23" s="76"/>
      <c r="U23" s="76"/>
      <c r="V23" s="76"/>
      <c r="W23" s="76"/>
      <c r="X23" s="76"/>
      <c r="Y23" s="76"/>
      <c r="Z23" s="76"/>
      <c r="AA23" s="68"/>
      <c r="AB23" s="166"/>
      <c r="AC23" s="6"/>
      <c r="AD23" s="95"/>
      <c r="AE23" s="99"/>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row>
    <row r="24" spans="1:252" s="96" customFormat="1" ht="20.25" customHeight="1">
      <c r="A24" s="32" t="str">
        <f t="shared" si="0"/>
        <v>Dienstag</v>
      </c>
      <c r="B24" s="37">
        <f t="shared" si="2"/>
        <v>43011</v>
      </c>
      <c r="C24" s="185" t="str">
        <f>IF(OR(A24="Samstag",A24="Sonntag"),"",IF(COUNTIF(Übersicht!C$16:C$30,B24)&gt;0,"BA",""))</f>
        <v>BA</v>
      </c>
      <c r="D24" s="38"/>
      <c r="E24" s="172" t="str">
        <f t="shared" ref="E24:E52" si="4">IF(OR(A24="Samstag",A24="Sonntag",C24="BA"),"",
IF(C24="SV",D24,
IF(OR($E$17="",B24&lt;$E$17),IF($N$13=0,HLOOKUP($A24,$I$11:$M$12,2,FALSE),IF($N$13=$F$12,HLOOKUP($A24,$I$11:$M$13,3,FALSE),"FEHLER")),
IF($N$17=0,HLOOKUP($A24,$I$15:$M$16,2,FALSE),IF($N$17=$F$16,HLOOKUP($A24,$I$15:$M$17,3,FALSE),"FEHLER")))))</f>
        <v/>
      </c>
      <c r="F24" s="176"/>
      <c r="G24" s="177"/>
      <c r="H24" s="178"/>
      <c r="I24" s="38">
        <f t="shared" si="1"/>
        <v>0</v>
      </c>
      <c r="J24" s="35">
        <f t="shared" si="3"/>
        <v>0</v>
      </c>
      <c r="K24" s="36">
        <f t="shared" ref="K24:K52" si="5">SUM(K23,J24)</f>
        <v>-131.25</v>
      </c>
      <c r="L24" s="251"/>
      <c r="M24" s="252"/>
      <c r="N24" s="252"/>
      <c r="O24" s="252"/>
      <c r="P24" s="253"/>
      <c r="Q24" s="89"/>
      <c r="R24" s="165"/>
      <c r="S24" s="76"/>
      <c r="T24" s="76"/>
      <c r="U24" s="76"/>
      <c r="V24" s="76"/>
      <c r="W24" s="76"/>
      <c r="X24" s="76"/>
      <c r="Y24" s="76"/>
      <c r="Z24" s="76"/>
      <c r="AA24" s="68"/>
      <c r="AB24" s="166"/>
      <c r="AC24" s="6"/>
      <c r="AD24" s="95"/>
      <c r="AE24" s="99"/>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row>
    <row r="25" spans="1:252" s="96" customFormat="1" ht="20.25" customHeight="1">
      <c r="A25" s="32" t="str">
        <f t="shared" si="0"/>
        <v>Mittwoch</v>
      </c>
      <c r="B25" s="37">
        <f t="shared" si="2"/>
        <v>43012</v>
      </c>
      <c r="C25" s="185" t="str">
        <f>IF(OR(A25="Samstag",A25="Sonntag"),"",IF(COUNTIF(Übersicht!C$16:C$30,B25)&gt;0,"BA",""))</f>
        <v/>
      </c>
      <c r="D25" s="38"/>
      <c r="E25" s="172">
        <f t="shared" si="4"/>
        <v>2</v>
      </c>
      <c r="F25" s="176"/>
      <c r="G25" s="177"/>
      <c r="H25" s="178"/>
      <c r="I25" s="38">
        <f t="shared" si="1"/>
        <v>0</v>
      </c>
      <c r="J25" s="35">
        <f t="shared" si="3"/>
        <v>-2</v>
      </c>
      <c r="K25" s="36">
        <f t="shared" si="5"/>
        <v>-133.25</v>
      </c>
      <c r="L25" s="251"/>
      <c r="M25" s="252"/>
      <c r="N25" s="252"/>
      <c r="O25" s="252"/>
      <c r="P25" s="253"/>
      <c r="Q25" s="89"/>
      <c r="R25" s="165"/>
      <c r="S25" s="76"/>
      <c r="T25" s="76"/>
      <c r="U25" s="76"/>
      <c r="V25" s="76"/>
      <c r="W25" s="76"/>
      <c r="X25" s="76"/>
      <c r="Y25" s="76"/>
      <c r="Z25" s="76"/>
      <c r="AA25" s="68"/>
      <c r="AB25" s="166"/>
      <c r="AC25" s="6"/>
      <c r="AD25" s="95"/>
      <c r="AE25" s="99"/>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row>
    <row r="26" spans="1:252" s="96" customFormat="1" ht="20.25" customHeight="1">
      <c r="A26" s="32" t="str">
        <f t="shared" si="0"/>
        <v>Donnerstag</v>
      </c>
      <c r="B26" s="37">
        <f t="shared" si="2"/>
        <v>43013</v>
      </c>
      <c r="C26" s="185" t="str">
        <f>IF(OR(A26="Samstag",A26="Sonntag"),"",IF(COUNTIF(Übersicht!C$16:C$30,B26)&gt;0,"BA",""))</f>
        <v/>
      </c>
      <c r="D26" s="38"/>
      <c r="E26" s="172">
        <f t="shared" si="4"/>
        <v>2</v>
      </c>
      <c r="F26" s="176"/>
      <c r="G26" s="177"/>
      <c r="H26" s="178"/>
      <c r="I26" s="38">
        <f t="shared" si="1"/>
        <v>0</v>
      </c>
      <c r="J26" s="35">
        <f t="shared" si="3"/>
        <v>-2</v>
      </c>
      <c r="K26" s="36">
        <f t="shared" si="5"/>
        <v>-135.25</v>
      </c>
      <c r="L26" s="251"/>
      <c r="M26" s="252"/>
      <c r="N26" s="252"/>
      <c r="O26" s="252"/>
      <c r="P26" s="253"/>
      <c r="Q26" s="89"/>
      <c r="R26" s="165"/>
      <c r="S26" s="76"/>
      <c r="T26" s="76"/>
      <c r="U26" s="76"/>
      <c r="V26" s="76"/>
      <c r="W26" s="76"/>
      <c r="X26" s="76"/>
      <c r="Y26" s="76"/>
      <c r="Z26" s="76"/>
      <c r="AA26" s="68"/>
      <c r="AB26" s="166"/>
      <c r="AC26" s="6"/>
      <c r="AD26" s="95"/>
      <c r="AE26" s="99"/>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row>
    <row r="27" spans="1:252" s="96" customFormat="1" ht="20.25" customHeight="1">
      <c r="A27" s="32" t="str">
        <f t="shared" si="0"/>
        <v>Freitag</v>
      </c>
      <c r="B27" s="37">
        <f t="shared" si="2"/>
        <v>43014</v>
      </c>
      <c r="C27" s="185" t="str">
        <f>IF(OR(A27="Samstag",A27="Sonntag"),"",IF(COUNTIF(Übersicht!C$16:C$30,B27)&gt;0,"BA",""))</f>
        <v/>
      </c>
      <c r="D27" s="38"/>
      <c r="E27" s="172">
        <f t="shared" si="4"/>
        <v>2</v>
      </c>
      <c r="F27" s="176"/>
      <c r="G27" s="177"/>
      <c r="H27" s="178"/>
      <c r="I27" s="38">
        <f t="shared" si="1"/>
        <v>0</v>
      </c>
      <c r="J27" s="35">
        <f t="shared" si="3"/>
        <v>-2</v>
      </c>
      <c r="K27" s="36">
        <f>SUM(K26,J27)</f>
        <v>-137.25</v>
      </c>
      <c r="L27" s="251"/>
      <c r="M27" s="252"/>
      <c r="N27" s="252"/>
      <c r="O27" s="252"/>
      <c r="P27" s="253"/>
      <c r="Q27" s="89"/>
      <c r="R27" s="165"/>
      <c r="S27" s="76"/>
      <c r="T27" s="76"/>
      <c r="U27" s="76"/>
      <c r="V27" s="76"/>
      <c r="W27" s="76"/>
      <c r="X27" s="76"/>
      <c r="Y27" s="76"/>
      <c r="Z27" s="76"/>
      <c r="AA27" s="68"/>
      <c r="AB27" s="166"/>
      <c r="AC27" s="6"/>
      <c r="AD27" s="95"/>
      <c r="AE27" s="99"/>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row>
    <row r="28" spans="1:252" s="96" customFormat="1" ht="20.25" customHeight="1">
      <c r="A28" s="32" t="str">
        <f t="shared" si="0"/>
        <v>Samstag</v>
      </c>
      <c r="B28" s="37">
        <f t="shared" si="2"/>
        <v>43015</v>
      </c>
      <c r="C28" s="185" t="str">
        <f>IF(OR(A28="Samstag",A28="Sonntag"),"",IF(COUNTIF(Übersicht!C$16:C$30,B28)&gt;0,"BA",""))</f>
        <v/>
      </c>
      <c r="D28" s="38"/>
      <c r="E28" s="172" t="str">
        <f t="shared" si="4"/>
        <v/>
      </c>
      <c r="F28" s="176"/>
      <c r="G28" s="177"/>
      <c r="H28" s="178"/>
      <c r="I28" s="38">
        <f t="shared" si="1"/>
        <v>0</v>
      </c>
      <c r="J28" s="35">
        <f t="shared" si="3"/>
        <v>0</v>
      </c>
      <c r="K28" s="36">
        <f t="shared" si="5"/>
        <v>-137.25</v>
      </c>
      <c r="L28" s="251"/>
      <c r="M28" s="252"/>
      <c r="N28" s="252"/>
      <c r="O28" s="252"/>
      <c r="P28" s="253"/>
      <c r="Q28" s="89"/>
      <c r="R28" s="165"/>
      <c r="S28" s="76"/>
      <c r="T28" s="76"/>
      <c r="U28" s="76"/>
      <c r="V28" s="76"/>
      <c r="W28" s="76"/>
      <c r="X28" s="76"/>
      <c r="Y28" s="76"/>
      <c r="Z28" s="76"/>
      <c r="AA28" s="68"/>
      <c r="AB28" s="166"/>
      <c r="AC28" s="6"/>
      <c r="AD28" s="95"/>
      <c r="AE28" s="99"/>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row>
    <row r="29" spans="1:252" s="96" customFormat="1" ht="20.25" customHeight="1">
      <c r="A29" s="32" t="str">
        <f t="shared" si="0"/>
        <v>Sonntag</v>
      </c>
      <c r="B29" s="37">
        <f t="shared" si="2"/>
        <v>43016</v>
      </c>
      <c r="C29" s="185" t="str">
        <f>IF(OR(A29="Samstag",A29="Sonntag"),"",IF(COUNTIF(Übersicht!C$16:C$30,B29)&gt;0,"BA",""))</f>
        <v/>
      </c>
      <c r="D29" s="38"/>
      <c r="E29" s="172" t="str">
        <f t="shared" si="4"/>
        <v/>
      </c>
      <c r="F29" s="176"/>
      <c r="G29" s="177"/>
      <c r="H29" s="178"/>
      <c r="I29" s="38">
        <f t="shared" si="1"/>
        <v>0</v>
      </c>
      <c r="J29" s="35">
        <f t="shared" si="3"/>
        <v>0</v>
      </c>
      <c r="K29" s="36">
        <f t="shared" si="5"/>
        <v>-137.25</v>
      </c>
      <c r="L29" s="251"/>
      <c r="M29" s="252"/>
      <c r="N29" s="252"/>
      <c r="O29" s="252"/>
      <c r="P29" s="253"/>
      <c r="Q29" s="89"/>
      <c r="R29" s="165"/>
      <c r="S29" s="76"/>
      <c r="T29" s="76"/>
      <c r="U29" s="76"/>
      <c r="V29" s="76"/>
      <c r="W29" s="76"/>
      <c r="X29" s="76"/>
      <c r="Y29" s="76"/>
      <c r="Z29" s="76"/>
      <c r="AA29" s="68"/>
      <c r="AB29" s="166"/>
      <c r="AC29" s="6"/>
      <c r="AD29" s="95"/>
      <c r="AE29" s="99"/>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row>
    <row r="30" spans="1:252" s="96" customFormat="1" ht="20.25" customHeight="1">
      <c r="A30" s="32" t="str">
        <f t="shared" si="0"/>
        <v>Montag</v>
      </c>
      <c r="B30" s="37">
        <f t="shared" si="2"/>
        <v>43017</v>
      </c>
      <c r="C30" s="185" t="str">
        <f>IF(OR(A30="Samstag",A30="Sonntag"),"",IF(COUNTIF(Übersicht!C$16:C$30,B30)&gt;0,"BA",""))</f>
        <v/>
      </c>
      <c r="D30" s="38"/>
      <c r="E30" s="172">
        <f t="shared" si="4"/>
        <v>2</v>
      </c>
      <c r="F30" s="176"/>
      <c r="G30" s="177"/>
      <c r="H30" s="178"/>
      <c r="I30" s="38">
        <f t="shared" si="1"/>
        <v>0</v>
      </c>
      <c r="J30" s="35">
        <f t="shared" si="3"/>
        <v>-2</v>
      </c>
      <c r="K30" s="36">
        <f t="shared" si="5"/>
        <v>-139.25</v>
      </c>
      <c r="L30" s="251"/>
      <c r="M30" s="252"/>
      <c r="N30" s="252"/>
      <c r="O30" s="252"/>
      <c r="P30" s="253"/>
      <c r="Q30" s="89"/>
      <c r="R30" s="165"/>
      <c r="S30" s="76"/>
      <c r="T30" s="76"/>
      <c r="U30" s="76"/>
      <c r="V30" s="76"/>
      <c r="W30" s="76"/>
      <c r="X30" s="76"/>
      <c r="Y30" s="76"/>
      <c r="Z30" s="76"/>
      <c r="AA30" s="68"/>
      <c r="AB30" s="166"/>
      <c r="AC30" s="6"/>
      <c r="AD30" s="95"/>
      <c r="AE30" s="99"/>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row>
    <row r="31" spans="1:252" s="96" customFormat="1" ht="20.25" customHeight="1">
      <c r="A31" s="32" t="str">
        <f t="shared" si="0"/>
        <v>Dienstag</v>
      </c>
      <c r="B31" s="37">
        <f t="shared" si="2"/>
        <v>43018</v>
      </c>
      <c r="C31" s="185" t="str">
        <f>IF(OR(A31="Samstag",A31="Sonntag"),"",IF(COUNTIF(Übersicht!C$16:C$30,B31)&gt;0,"BA",""))</f>
        <v/>
      </c>
      <c r="D31" s="38"/>
      <c r="E31" s="172">
        <f t="shared" si="4"/>
        <v>2</v>
      </c>
      <c r="F31" s="176"/>
      <c r="G31" s="177"/>
      <c r="H31" s="178"/>
      <c r="I31" s="38">
        <f t="shared" si="1"/>
        <v>0</v>
      </c>
      <c r="J31" s="35">
        <f t="shared" si="3"/>
        <v>-2</v>
      </c>
      <c r="K31" s="36">
        <f t="shared" si="5"/>
        <v>-141.25</v>
      </c>
      <c r="L31" s="251"/>
      <c r="M31" s="252"/>
      <c r="N31" s="252"/>
      <c r="O31" s="252"/>
      <c r="P31" s="253"/>
      <c r="Q31" s="89"/>
      <c r="R31" s="165"/>
      <c r="S31" s="76"/>
      <c r="T31" s="76"/>
      <c r="U31" s="76"/>
      <c r="V31" s="76"/>
      <c r="W31" s="76"/>
      <c r="X31" s="76"/>
      <c r="Y31" s="76"/>
      <c r="Z31" s="76"/>
      <c r="AA31" s="68"/>
      <c r="AB31" s="166"/>
      <c r="AC31" s="6"/>
      <c r="AD31" s="95"/>
      <c r="AE31" s="99"/>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row>
    <row r="32" spans="1:252" s="96" customFormat="1" ht="20.25" customHeight="1">
      <c r="A32" s="32" t="str">
        <f t="shared" si="0"/>
        <v>Mittwoch</v>
      </c>
      <c r="B32" s="37">
        <f t="shared" si="2"/>
        <v>43019</v>
      </c>
      <c r="C32" s="185" t="str">
        <f>IF(OR(A32="Samstag",A32="Sonntag"),"",IF(COUNTIF(Übersicht!C$16:C$30,B32)&gt;0,"BA",""))</f>
        <v/>
      </c>
      <c r="D32" s="38"/>
      <c r="E32" s="172">
        <f t="shared" si="4"/>
        <v>2</v>
      </c>
      <c r="F32" s="176"/>
      <c r="G32" s="177"/>
      <c r="H32" s="178"/>
      <c r="I32" s="38">
        <f t="shared" si="1"/>
        <v>0</v>
      </c>
      <c r="J32" s="35">
        <f t="shared" si="3"/>
        <v>-2</v>
      </c>
      <c r="K32" s="36">
        <f t="shared" si="5"/>
        <v>-143.25</v>
      </c>
      <c r="L32" s="251"/>
      <c r="M32" s="252"/>
      <c r="N32" s="252"/>
      <c r="O32" s="252"/>
      <c r="P32" s="253"/>
      <c r="Q32" s="89"/>
      <c r="R32" s="165"/>
      <c r="S32" s="76"/>
      <c r="T32" s="76"/>
      <c r="U32" s="76"/>
      <c r="V32" s="76"/>
      <c r="W32" s="76"/>
      <c r="X32" s="76"/>
      <c r="Y32" s="76"/>
      <c r="Z32" s="76"/>
      <c r="AA32" s="68"/>
      <c r="AB32" s="166"/>
      <c r="AC32" s="6"/>
      <c r="AD32" s="95"/>
      <c r="AE32" s="99"/>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row>
    <row r="33" spans="1:252" s="96" customFormat="1" ht="20.25" customHeight="1">
      <c r="A33" s="32" t="str">
        <f t="shared" si="0"/>
        <v>Donnerstag</v>
      </c>
      <c r="B33" s="37">
        <f t="shared" si="2"/>
        <v>43020</v>
      </c>
      <c r="C33" s="185" t="str">
        <f>IF(OR(A33="Samstag",A33="Sonntag"),"",IF(COUNTIF(Übersicht!C$16:C$30,B33)&gt;0,"BA",""))</f>
        <v/>
      </c>
      <c r="D33" s="38"/>
      <c r="E33" s="172">
        <f t="shared" si="4"/>
        <v>2</v>
      </c>
      <c r="F33" s="176"/>
      <c r="G33" s="177"/>
      <c r="H33" s="178"/>
      <c r="I33" s="38">
        <f t="shared" si="1"/>
        <v>0</v>
      </c>
      <c r="J33" s="35">
        <f t="shared" si="3"/>
        <v>-2</v>
      </c>
      <c r="K33" s="36">
        <f t="shared" si="5"/>
        <v>-145.25</v>
      </c>
      <c r="L33" s="251"/>
      <c r="M33" s="252"/>
      <c r="N33" s="252"/>
      <c r="O33" s="252"/>
      <c r="P33" s="253"/>
      <c r="Q33" s="89"/>
      <c r="R33" s="165"/>
      <c r="S33" s="76"/>
      <c r="T33" s="76"/>
      <c r="U33" s="76"/>
      <c r="V33" s="76"/>
      <c r="W33" s="76"/>
      <c r="X33" s="76"/>
      <c r="Y33" s="76"/>
      <c r="Z33" s="76"/>
      <c r="AA33" s="68"/>
      <c r="AB33" s="166"/>
      <c r="AC33" s="6"/>
      <c r="AD33" s="95"/>
      <c r="AE33" s="99"/>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row>
    <row r="34" spans="1:252" s="96" customFormat="1" ht="20.25" customHeight="1">
      <c r="A34" s="32" t="str">
        <f t="shared" si="0"/>
        <v>Freitag</v>
      </c>
      <c r="B34" s="37">
        <f t="shared" si="2"/>
        <v>43021</v>
      </c>
      <c r="C34" s="185" t="str">
        <f>IF(OR(A34="Samstag",A34="Sonntag"),"",IF(COUNTIF(Übersicht!C$16:C$30,B34)&gt;0,"BA",""))</f>
        <v/>
      </c>
      <c r="D34" s="38"/>
      <c r="E34" s="172">
        <f t="shared" si="4"/>
        <v>2</v>
      </c>
      <c r="F34" s="176"/>
      <c r="G34" s="177"/>
      <c r="H34" s="178"/>
      <c r="I34" s="38">
        <f t="shared" si="1"/>
        <v>0</v>
      </c>
      <c r="J34" s="35">
        <f t="shared" si="3"/>
        <v>-2</v>
      </c>
      <c r="K34" s="36">
        <f t="shared" si="5"/>
        <v>-147.25</v>
      </c>
      <c r="L34" s="251"/>
      <c r="M34" s="252"/>
      <c r="N34" s="252"/>
      <c r="O34" s="252"/>
      <c r="P34" s="253"/>
      <c r="Q34" s="89"/>
      <c r="R34" s="165"/>
      <c r="S34" s="76"/>
      <c r="T34" s="76"/>
      <c r="U34" s="76"/>
      <c r="V34" s="76"/>
      <c r="W34" s="76"/>
      <c r="X34" s="76"/>
      <c r="Y34" s="76"/>
      <c r="Z34" s="76"/>
      <c r="AA34" s="68"/>
      <c r="AB34" s="166"/>
      <c r="AC34" s="6"/>
      <c r="AD34" s="95"/>
      <c r="AE34" s="99"/>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row>
    <row r="35" spans="1:252" s="96" customFormat="1" ht="20.25" customHeight="1">
      <c r="A35" s="32" t="str">
        <f t="shared" si="0"/>
        <v>Samstag</v>
      </c>
      <c r="B35" s="37">
        <f t="shared" si="2"/>
        <v>43022</v>
      </c>
      <c r="C35" s="185" t="str">
        <f>IF(OR(A35="Samstag",A35="Sonntag"),"",IF(COUNTIF(Übersicht!C$16:C$30,B35)&gt;0,"BA",""))</f>
        <v/>
      </c>
      <c r="D35" s="38"/>
      <c r="E35" s="172" t="str">
        <f t="shared" si="4"/>
        <v/>
      </c>
      <c r="F35" s="176"/>
      <c r="G35" s="177"/>
      <c r="H35" s="178"/>
      <c r="I35" s="38">
        <f t="shared" si="1"/>
        <v>0</v>
      </c>
      <c r="J35" s="35">
        <f t="shared" si="3"/>
        <v>0</v>
      </c>
      <c r="K35" s="36">
        <f t="shared" si="5"/>
        <v>-147.25</v>
      </c>
      <c r="L35" s="251"/>
      <c r="M35" s="252"/>
      <c r="N35" s="252"/>
      <c r="O35" s="252"/>
      <c r="P35" s="253"/>
      <c r="Q35" s="89"/>
      <c r="R35" s="165"/>
      <c r="S35" s="76"/>
      <c r="T35" s="76"/>
      <c r="U35" s="76"/>
      <c r="V35" s="76"/>
      <c r="W35" s="76"/>
      <c r="X35" s="76"/>
      <c r="Y35" s="76"/>
      <c r="Z35" s="76"/>
      <c r="AA35" s="68"/>
      <c r="AB35" s="166"/>
      <c r="AC35" s="6"/>
      <c r="AD35" s="95"/>
      <c r="AE35" s="99"/>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row>
    <row r="36" spans="1:252" s="96" customFormat="1" ht="20.25" customHeight="1">
      <c r="A36" s="32" t="str">
        <f t="shared" si="0"/>
        <v>Sonntag</v>
      </c>
      <c r="B36" s="37">
        <f t="shared" si="2"/>
        <v>43023</v>
      </c>
      <c r="C36" s="185" t="str">
        <f>IF(OR(A36="Samstag",A36="Sonntag"),"",IF(COUNTIF(Übersicht!C$16:C$30,B36)&gt;0,"BA",""))</f>
        <v/>
      </c>
      <c r="D36" s="38"/>
      <c r="E36" s="172" t="str">
        <f t="shared" si="4"/>
        <v/>
      </c>
      <c r="F36" s="176"/>
      <c r="G36" s="177"/>
      <c r="H36" s="178"/>
      <c r="I36" s="38">
        <f t="shared" si="1"/>
        <v>0</v>
      </c>
      <c r="J36" s="35">
        <f t="shared" si="3"/>
        <v>0</v>
      </c>
      <c r="K36" s="36">
        <f t="shared" si="5"/>
        <v>-147.25</v>
      </c>
      <c r="L36" s="251"/>
      <c r="M36" s="252"/>
      <c r="N36" s="252"/>
      <c r="O36" s="252"/>
      <c r="P36" s="253"/>
      <c r="Q36" s="89"/>
      <c r="R36" s="165"/>
      <c r="S36" s="76"/>
      <c r="T36" s="76"/>
      <c r="U36" s="76"/>
      <c r="V36" s="76"/>
      <c r="W36" s="76"/>
      <c r="X36" s="76"/>
      <c r="Y36" s="76"/>
      <c r="Z36" s="76"/>
      <c r="AA36" s="68"/>
      <c r="AB36" s="166"/>
      <c r="AC36" s="6"/>
      <c r="AD36" s="95"/>
      <c r="AE36" s="99"/>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row>
    <row r="37" spans="1:252" s="96" customFormat="1" ht="20.25" customHeight="1">
      <c r="A37" s="32" t="str">
        <f t="shared" si="0"/>
        <v>Montag</v>
      </c>
      <c r="B37" s="37">
        <f t="shared" si="2"/>
        <v>43024</v>
      </c>
      <c r="C37" s="185" t="str">
        <f>IF(OR(A37="Samstag",A37="Sonntag"),"",IF(COUNTIF(Übersicht!C$16:C$30,B37)&gt;0,"BA",""))</f>
        <v/>
      </c>
      <c r="D37" s="38"/>
      <c r="E37" s="172">
        <f t="shared" si="4"/>
        <v>2</v>
      </c>
      <c r="F37" s="176"/>
      <c r="G37" s="177"/>
      <c r="H37" s="178"/>
      <c r="I37" s="38">
        <f t="shared" si="1"/>
        <v>0</v>
      </c>
      <c r="J37" s="35">
        <f t="shared" si="3"/>
        <v>-2</v>
      </c>
      <c r="K37" s="36">
        <f t="shared" si="5"/>
        <v>-149.25</v>
      </c>
      <c r="L37" s="251"/>
      <c r="M37" s="252"/>
      <c r="N37" s="252"/>
      <c r="O37" s="252"/>
      <c r="P37" s="253"/>
      <c r="Q37" s="89"/>
      <c r="R37" s="165"/>
      <c r="S37" s="76"/>
      <c r="T37" s="76"/>
      <c r="U37" s="76"/>
      <c r="V37" s="76"/>
      <c r="W37" s="76"/>
      <c r="X37" s="76"/>
      <c r="Y37" s="76"/>
      <c r="Z37" s="76"/>
      <c r="AA37" s="68"/>
      <c r="AB37" s="166"/>
      <c r="AC37" s="6"/>
      <c r="AD37" s="95"/>
      <c r="AE37" s="99"/>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row>
    <row r="38" spans="1:252" s="96" customFormat="1" ht="20.25" customHeight="1">
      <c r="A38" s="32" t="str">
        <f t="shared" si="0"/>
        <v>Dienstag</v>
      </c>
      <c r="B38" s="37">
        <f t="shared" si="2"/>
        <v>43025</v>
      </c>
      <c r="C38" s="185" t="str">
        <f>IF(OR(A38="Samstag",A38="Sonntag"),"",IF(COUNTIF(Übersicht!C$16:C$30,B38)&gt;0,"BA",""))</f>
        <v/>
      </c>
      <c r="D38" s="38"/>
      <c r="E38" s="172">
        <f t="shared" si="4"/>
        <v>2</v>
      </c>
      <c r="F38" s="176"/>
      <c r="G38" s="177"/>
      <c r="H38" s="178"/>
      <c r="I38" s="38">
        <f t="shared" si="1"/>
        <v>0</v>
      </c>
      <c r="J38" s="35">
        <f t="shared" si="3"/>
        <v>-2</v>
      </c>
      <c r="K38" s="36">
        <f t="shared" si="5"/>
        <v>-151.25</v>
      </c>
      <c r="L38" s="251"/>
      <c r="M38" s="252"/>
      <c r="N38" s="252"/>
      <c r="O38" s="252"/>
      <c r="P38" s="253"/>
      <c r="Q38" s="89"/>
      <c r="R38" s="165"/>
      <c r="S38" s="76"/>
      <c r="T38" s="76"/>
      <c r="U38" s="76"/>
      <c r="V38" s="76"/>
      <c r="W38" s="76"/>
      <c r="X38" s="76"/>
      <c r="Y38" s="76"/>
      <c r="Z38" s="76"/>
      <c r="AA38" s="68"/>
      <c r="AB38" s="166"/>
      <c r="AC38" s="6"/>
      <c r="AD38" s="95"/>
      <c r="AE38" s="99"/>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row>
    <row r="39" spans="1:252" s="96" customFormat="1" ht="20.25" customHeight="1">
      <c r="A39" s="32" t="str">
        <f t="shared" si="0"/>
        <v>Mittwoch</v>
      </c>
      <c r="B39" s="37">
        <f t="shared" si="2"/>
        <v>43026</v>
      </c>
      <c r="C39" s="185" t="str">
        <f>IF(OR(A39="Samstag",A39="Sonntag"),"",IF(COUNTIF(Übersicht!C$16:C$30,B39)&gt;0,"BA",""))</f>
        <v/>
      </c>
      <c r="D39" s="38"/>
      <c r="E39" s="172">
        <f t="shared" si="4"/>
        <v>2</v>
      </c>
      <c r="F39" s="176"/>
      <c r="G39" s="177"/>
      <c r="H39" s="178"/>
      <c r="I39" s="38">
        <f t="shared" si="1"/>
        <v>0</v>
      </c>
      <c r="J39" s="35">
        <f t="shared" si="3"/>
        <v>-2</v>
      </c>
      <c r="K39" s="36">
        <f t="shared" si="5"/>
        <v>-153.25</v>
      </c>
      <c r="L39" s="251"/>
      <c r="M39" s="252"/>
      <c r="N39" s="252"/>
      <c r="O39" s="252"/>
      <c r="P39" s="253"/>
      <c r="Q39" s="89"/>
      <c r="R39" s="165"/>
      <c r="S39" s="76"/>
      <c r="T39" s="76"/>
      <c r="U39" s="76"/>
      <c r="V39" s="76"/>
      <c r="W39" s="76"/>
      <c r="X39" s="76"/>
      <c r="Y39" s="76"/>
      <c r="Z39" s="76"/>
      <c r="AA39" s="68"/>
      <c r="AB39" s="166"/>
      <c r="AC39" s="6"/>
      <c r="AD39" s="95"/>
      <c r="AE39" s="99"/>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row>
    <row r="40" spans="1:252" s="96" customFormat="1" ht="20.25" customHeight="1">
      <c r="A40" s="32" t="str">
        <f t="shared" si="0"/>
        <v>Donnerstag</v>
      </c>
      <c r="B40" s="37">
        <f t="shared" si="2"/>
        <v>43027</v>
      </c>
      <c r="C40" s="185" t="str">
        <f>IF(OR(A40="Samstag",A40="Sonntag"),"",IF(COUNTIF(Übersicht!C$16:C$30,B40)&gt;0,"BA",""))</f>
        <v/>
      </c>
      <c r="D40" s="38"/>
      <c r="E40" s="172">
        <f t="shared" si="4"/>
        <v>2</v>
      </c>
      <c r="F40" s="176"/>
      <c r="G40" s="177"/>
      <c r="H40" s="178"/>
      <c r="I40" s="38">
        <f t="shared" si="1"/>
        <v>0</v>
      </c>
      <c r="J40" s="35">
        <f t="shared" si="3"/>
        <v>-2</v>
      </c>
      <c r="K40" s="36">
        <f t="shared" si="5"/>
        <v>-155.25</v>
      </c>
      <c r="L40" s="251"/>
      <c r="M40" s="252"/>
      <c r="N40" s="252"/>
      <c r="O40" s="252"/>
      <c r="P40" s="253"/>
      <c r="Q40" s="89"/>
      <c r="R40" s="165"/>
      <c r="S40" s="76"/>
      <c r="T40" s="76"/>
      <c r="U40" s="76"/>
      <c r="V40" s="76"/>
      <c r="W40" s="76"/>
      <c r="X40" s="76"/>
      <c r="Y40" s="76"/>
      <c r="Z40" s="76"/>
      <c r="AA40" s="68"/>
      <c r="AB40" s="166"/>
      <c r="AC40" s="6"/>
      <c r="AD40" s="95"/>
      <c r="AE40" s="99"/>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row>
    <row r="41" spans="1:252" s="96" customFormat="1" ht="20.25" customHeight="1">
      <c r="A41" s="32" t="str">
        <f t="shared" si="0"/>
        <v>Freitag</v>
      </c>
      <c r="B41" s="37">
        <f t="shared" si="2"/>
        <v>43028</v>
      </c>
      <c r="C41" s="185" t="str">
        <f>IF(OR(A41="Samstag",A41="Sonntag"),"",IF(COUNTIF(Übersicht!C$16:C$30,B41)&gt;0,"BA",""))</f>
        <v/>
      </c>
      <c r="D41" s="38"/>
      <c r="E41" s="172">
        <f t="shared" si="4"/>
        <v>2</v>
      </c>
      <c r="F41" s="176"/>
      <c r="G41" s="177"/>
      <c r="H41" s="178"/>
      <c r="I41" s="38">
        <f t="shared" si="1"/>
        <v>0</v>
      </c>
      <c r="J41" s="35">
        <f t="shared" si="3"/>
        <v>-2</v>
      </c>
      <c r="K41" s="36">
        <f t="shared" si="5"/>
        <v>-157.25</v>
      </c>
      <c r="L41" s="251"/>
      <c r="M41" s="252"/>
      <c r="N41" s="252"/>
      <c r="O41" s="252"/>
      <c r="P41" s="253"/>
      <c r="Q41" s="89"/>
      <c r="R41" s="165"/>
      <c r="S41" s="76"/>
      <c r="T41" s="76"/>
      <c r="U41" s="76"/>
      <c r="V41" s="76"/>
      <c r="W41" s="76"/>
      <c r="X41" s="76"/>
      <c r="Y41" s="76"/>
      <c r="Z41" s="76"/>
      <c r="AA41" s="68"/>
      <c r="AB41" s="166"/>
      <c r="AC41" s="6"/>
      <c r="AD41" s="95"/>
      <c r="AE41" s="99"/>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row>
    <row r="42" spans="1:252" s="96" customFormat="1" ht="20.25" customHeight="1">
      <c r="A42" s="32" t="str">
        <f t="shared" si="0"/>
        <v>Samstag</v>
      </c>
      <c r="B42" s="37">
        <f t="shared" si="2"/>
        <v>43029</v>
      </c>
      <c r="C42" s="185" t="str">
        <f>IF(OR(A42="Samstag",A42="Sonntag"),"",IF(COUNTIF(Übersicht!C$16:C$30,B42)&gt;0,"BA",""))</f>
        <v/>
      </c>
      <c r="D42" s="38"/>
      <c r="E42" s="172" t="str">
        <f t="shared" si="4"/>
        <v/>
      </c>
      <c r="F42" s="176"/>
      <c r="G42" s="177"/>
      <c r="H42" s="178"/>
      <c r="I42" s="38">
        <f t="shared" si="1"/>
        <v>0</v>
      </c>
      <c r="J42" s="35">
        <f t="shared" si="3"/>
        <v>0</v>
      </c>
      <c r="K42" s="36">
        <f t="shared" si="5"/>
        <v>-157.25</v>
      </c>
      <c r="L42" s="251"/>
      <c r="M42" s="252"/>
      <c r="N42" s="252"/>
      <c r="O42" s="252"/>
      <c r="P42" s="253"/>
      <c r="Q42" s="89"/>
      <c r="R42" s="165"/>
      <c r="S42" s="76"/>
      <c r="T42" s="76"/>
      <c r="U42" s="76"/>
      <c r="V42" s="76"/>
      <c r="W42" s="76"/>
      <c r="X42" s="76"/>
      <c r="Y42" s="76"/>
      <c r="Z42" s="76"/>
      <c r="AA42" s="68"/>
      <c r="AB42" s="166"/>
      <c r="AC42" s="6"/>
      <c r="AD42" s="95"/>
      <c r="AE42" s="99"/>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row>
    <row r="43" spans="1:252" s="96" customFormat="1" ht="20.25" customHeight="1">
      <c r="A43" s="32" t="str">
        <f t="shared" si="0"/>
        <v>Sonntag</v>
      </c>
      <c r="B43" s="37">
        <f t="shared" si="2"/>
        <v>43030</v>
      </c>
      <c r="C43" s="185" t="str">
        <f>IF(OR(A43="Samstag",A43="Sonntag"),"",IF(COUNTIF(Übersicht!C$16:C$30,B43)&gt;0,"BA",""))</f>
        <v/>
      </c>
      <c r="D43" s="38"/>
      <c r="E43" s="172" t="str">
        <f t="shared" si="4"/>
        <v/>
      </c>
      <c r="F43" s="176"/>
      <c r="G43" s="177"/>
      <c r="H43" s="178"/>
      <c r="I43" s="38">
        <f t="shared" si="1"/>
        <v>0</v>
      </c>
      <c r="J43" s="35">
        <f t="shared" si="3"/>
        <v>0</v>
      </c>
      <c r="K43" s="36">
        <f t="shared" si="5"/>
        <v>-157.25</v>
      </c>
      <c r="L43" s="251"/>
      <c r="M43" s="252"/>
      <c r="N43" s="252"/>
      <c r="O43" s="252"/>
      <c r="P43" s="253"/>
      <c r="Q43" s="89"/>
      <c r="R43" s="165"/>
      <c r="S43" s="76"/>
      <c r="T43" s="76"/>
      <c r="U43" s="76"/>
      <c r="V43" s="76"/>
      <c r="W43" s="76"/>
      <c r="X43" s="76"/>
      <c r="Y43" s="76"/>
      <c r="Z43" s="76"/>
      <c r="AA43" s="68"/>
      <c r="AB43" s="166"/>
      <c r="AC43" s="6"/>
      <c r="AD43" s="95"/>
      <c r="AE43" s="99"/>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row>
    <row r="44" spans="1:252" s="96" customFormat="1" ht="20.25" customHeight="1">
      <c r="A44" s="32" t="str">
        <f t="shared" si="0"/>
        <v>Montag</v>
      </c>
      <c r="B44" s="37">
        <f t="shared" si="2"/>
        <v>43031</v>
      </c>
      <c r="C44" s="185" t="str">
        <f>IF(OR(A44="Samstag",A44="Sonntag"),"",IF(COUNTIF(Übersicht!C$16:C$30,B44)&gt;0,"BA",""))</f>
        <v/>
      </c>
      <c r="D44" s="38"/>
      <c r="E44" s="172">
        <f t="shared" si="4"/>
        <v>2</v>
      </c>
      <c r="F44" s="176"/>
      <c r="G44" s="177"/>
      <c r="H44" s="178"/>
      <c r="I44" s="38">
        <f t="shared" si="1"/>
        <v>0</v>
      </c>
      <c r="J44" s="35">
        <f t="shared" si="3"/>
        <v>-2</v>
      </c>
      <c r="K44" s="36">
        <f t="shared" si="5"/>
        <v>-159.25</v>
      </c>
      <c r="L44" s="251"/>
      <c r="M44" s="252"/>
      <c r="N44" s="252"/>
      <c r="O44" s="252"/>
      <c r="P44" s="253"/>
      <c r="Q44" s="89"/>
      <c r="R44" s="165"/>
      <c r="S44" s="76"/>
      <c r="T44" s="76"/>
      <c r="U44" s="76"/>
      <c r="V44" s="76"/>
      <c r="W44" s="76"/>
      <c r="X44" s="76"/>
      <c r="Y44" s="76"/>
      <c r="Z44" s="76"/>
      <c r="AA44" s="68"/>
      <c r="AB44" s="166"/>
      <c r="AC44" s="6"/>
      <c r="AD44" s="95"/>
      <c r="AE44" s="99"/>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row>
    <row r="45" spans="1:252" s="96" customFormat="1" ht="20.25" customHeight="1">
      <c r="A45" s="32" t="str">
        <f t="shared" si="0"/>
        <v>Dienstag</v>
      </c>
      <c r="B45" s="37">
        <f t="shared" si="2"/>
        <v>43032</v>
      </c>
      <c r="C45" s="185" t="str">
        <f>IF(OR(A45="Samstag",A45="Sonntag"),"",IF(COUNTIF(Übersicht!C$16:C$30,B45)&gt;0,"BA",""))</f>
        <v/>
      </c>
      <c r="D45" s="38"/>
      <c r="E45" s="172">
        <f t="shared" si="4"/>
        <v>2</v>
      </c>
      <c r="F45" s="176"/>
      <c r="G45" s="177"/>
      <c r="H45" s="178"/>
      <c r="I45" s="38">
        <f t="shared" si="1"/>
        <v>0</v>
      </c>
      <c r="J45" s="35">
        <f t="shared" si="3"/>
        <v>-2</v>
      </c>
      <c r="K45" s="36">
        <f t="shared" si="5"/>
        <v>-161.25</v>
      </c>
      <c r="L45" s="251"/>
      <c r="M45" s="252"/>
      <c r="N45" s="252"/>
      <c r="O45" s="252"/>
      <c r="P45" s="253"/>
      <c r="Q45" s="89"/>
      <c r="R45" s="165"/>
      <c r="S45" s="76"/>
      <c r="T45" s="76"/>
      <c r="U45" s="76"/>
      <c r="V45" s="76"/>
      <c r="W45" s="76"/>
      <c r="X45" s="76"/>
      <c r="Y45" s="76"/>
      <c r="Z45" s="76"/>
      <c r="AA45" s="68"/>
      <c r="AB45" s="166"/>
      <c r="AC45" s="6"/>
      <c r="AD45" s="95"/>
      <c r="AE45" s="99"/>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row>
    <row r="46" spans="1:252" s="96" customFormat="1" ht="20.25" customHeight="1">
      <c r="A46" s="32" t="str">
        <f t="shared" si="0"/>
        <v>Mittwoch</v>
      </c>
      <c r="B46" s="37">
        <f t="shared" si="2"/>
        <v>43033</v>
      </c>
      <c r="C46" s="185" t="str">
        <f>IF(OR(A46="Samstag",A46="Sonntag"),"",IF(COUNTIF(Übersicht!C$16:C$30,B46)&gt;0,"BA",""))</f>
        <v/>
      </c>
      <c r="D46" s="38"/>
      <c r="E46" s="172">
        <f t="shared" si="4"/>
        <v>2</v>
      </c>
      <c r="F46" s="176"/>
      <c r="G46" s="177"/>
      <c r="H46" s="178"/>
      <c r="I46" s="38">
        <f t="shared" si="1"/>
        <v>0</v>
      </c>
      <c r="J46" s="35">
        <f t="shared" si="3"/>
        <v>-2</v>
      </c>
      <c r="K46" s="36">
        <f t="shared" si="5"/>
        <v>-163.25</v>
      </c>
      <c r="L46" s="251"/>
      <c r="M46" s="252"/>
      <c r="N46" s="252"/>
      <c r="O46" s="252"/>
      <c r="P46" s="253"/>
      <c r="Q46" s="89"/>
      <c r="R46" s="165"/>
      <c r="S46" s="76"/>
      <c r="T46" s="76"/>
      <c r="U46" s="76"/>
      <c r="V46" s="76"/>
      <c r="W46" s="76"/>
      <c r="X46" s="76"/>
      <c r="Y46" s="76"/>
      <c r="Z46" s="76"/>
      <c r="AA46" s="68"/>
      <c r="AB46" s="166"/>
      <c r="AC46" s="6"/>
      <c r="AD46" s="95"/>
      <c r="AE46" s="99"/>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row>
    <row r="47" spans="1:252" s="96" customFormat="1" ht="20.25" customHeight="1">
      <c r="A47" s="32" t="str">
        <f t="shared" si="0"/>
        <v>Donnerstag</v>
      </c>
      <c r="B47" s="37">
        <f t="shared" si="2"/>
        <v>43034</v>
      </c>
      <c r="C47" s="185" t="str">
        <f>IF(OR(A47="Samstag",A47="Sonntag"),"",IF(COUNTIF(Übersicht!C$16:C$30,B47)&gt;0,"BA",""))</f>
        <v/>
      </c>
      <c r="D47" s="38"/>
      <c r="E47" s="172">
        <f t="shared" si="4"/>
        <v>2</v>
      </c>
      <c r="F47" s="176"/>
      <c r="G47" s="177"/>
      <c r="H47" s="178"/>
      <c r="I47" s="38">
        <f t="shared" si="1"/>
        <v>0</v>
      </c>
      <c r="J47" s="35">
        <f t="shared" si="3"/>
        <v>-2</v>
      </c>
      <c r="K47" s="36">
        <f t="shared" si="5"/>
        <v>-165.25</v>
      </c>
      <c r="L47" s="251"/>
      <c r="M47" s="252"/>
      <c r="N47" s="252"/>
      <c r="O47" s="252"/>
      <c r="P47" s="253"/>
      <c r="Q47" s="89"/>
      <c r="R47" s="165"/>
      <c r="S47" s="76"/>
      <c r="T47" s="76"/>
      <c r="U47" s="76"/>
      <c r="V47" s="76"/>
      <c r="W47" s="76"/>
      <c r="X47" s="76"/>
      <c r="Y47" s="76"/>
      <c r="Z47" s="76"/>
      <c r="AA47" s="68"/>
      <c r="AB47" s="166"/>
      <c r="AC47" s="6"/>
      <c r="AD47" s="95"/>
      <c r="AE47" s="99"/>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row>
    <row r="48" spans="1:252" s="96" customFormat="1" ht="20.25" customHeight="1">
      <c r="A48" s="32" t="str">
        <f t="shared" si="0"/>
        <v>Freitag</v>
      </c>
      <c r="B48" s="37">
        <f t="shared" si="2"/>
        <v>43035</v>
      </c>
      <c r="C48" s="185" t="str">
        <f>IF(OR(A48="Samstag",A48="Sonntag"),"",IF(COUNTIF(Übersicht!C$16:C$30,B48)&gt;0,"BA",""))</f>
        <v/>
      </c>
      <c r="D48" s="38"/>
      <c r="E48" s="172">
        <f t="shared" si="4"/>
        <v>2</v>
      </c>
      <c r="F48" s="176"/>
      <c r="G48" s="177"/>
      <c r="H48" s="178"/>
      <c r="I48" s="38">
        <f t="shared" si="1"/>
        <v>0</v>
      </c>
      <c r="J48" s="35">
        <f t="shared" si="3"/>
        <v>-2</v>
      </c>
      <c r="K48" s="36">
        <f t="shared" si="5"/>
        <v>-167.25</v>
      </c>
      <c r="L48" s="251"/>
      <c r="M48" s="252"/>
      <c r="N48" s="252"/>
      <c r="O48" s="252"/>
      <c r="P48" s="253"/>
      <c r="Q48" s="89"/>
      <c r="R48" s="165"/>
      <c r="S48" s="76"/>
      <c r="T48" s="76"/>
      <c r="U48" s="76"/>
      <c r="V48" s="76"/>
      <c r="W48" s="76"/>
      <c r="X48" s="76"/>
      <c r="Y48" s="76"/>
      <c r="Z48" s="76"/>
      <c r="AA48" s="68"/>
      <c r="AB48" s="166"/>
      <c r="AC48" s="6"/>
      <c r="AD48" s="95"/>
      <c r="AE48" s="99"/>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row>
    <row r="49" spans="1:252" s="96" customFormat="1" ht="20.25" customHeight="1">
      <c r="A49" s="32" t="str">
        <f t="shared" si="0"/>
        <v>Samstag</v>
      </c>
      <c r="B49" s="37">
        <f t="shared" si="2"/>
        <v>43036</v>
      </c>
      <c r="C49" s="185" t="str">
        <f>IF(OR(A49="Samstag",A49="Sonntag"),"",IF(COUNTIF(Übersicht!C$16:C$30,B49)&gt;0,"BA",""))</f>
        <v/>
      </c>
      <c r="D49" s="38"/>
      <c r="E49" s="172" t="str">
        <f t="shared" si="4"/>
        <v/>
      </c>
      <c r="F49" s="176"/>
      <c r="G49" s="177"/>
      <c r="H49" s="178"/>
      <c r="I49" s="38">
        <f t="shared" si="1"/>
        <v>0</v>
      </c>
      <c r="J49" s="35">
        <f t="shared" si="3"/>
        <v>0</v>
      </c>
      <c r="K49" s="36">
        <f t="shared" si="5"/>
        <v>-167.25</v>
      </c>
      <c r="L49" s="251"/>
      <c r="M49" s="252"/>
      <c r="N49" s="252"/>
      <c r="O49" s="252"/>
      <c r="P49" s="253"/>
      <c r="Q49" s="89"/>
      <c r="R49" s="165"/>
      <c r="S49" s="76"/>
      <c r="T49" s="76"/>
      <c r="U49" s="76"/>
      <c r="V49" s="76"/>
      <c r="W49" s="76"/>
      <c r="X49" s="76"/>
      <c r="Y49" s="76"/>
      <c r="Z49" s="76"/>
      <c r="AA49" s="68"/>
      <c r="AB49" s="166"/>
      <c r="AC49" s="6"/>
      <c r="AD49" s="95"/>
      <c r="AE49" s="99"/>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row>
    <row r="50" spans="1:252" s="96" customFormat="1" ht="20.25" customHeight="1">
      <c r="A50" s="32" t="str">
        <f t="shared" si="0"/>
        <v>Sonntag</v>
      </c>
      <c r="B50" s="37">
        <f t="shared" si="2"/>
        <v>43037</v>
      </c>
      <c r="C50" s="185" t="str">
        <f>IF(OR(A50="Samstag",A50="Sonntag"),"",IF(COUNTIF(Übersicht!C$16:C$30,B50)&gt;0,"BA",""))</f>
        <v/>
      </c>
      <c r="D50" s="38"/>
      <c r="E50" s="172" t="str">
        <f t="shared" si="4"/>
        <v/>
      </c>
      <c r="F50" s="176"/>
      <c r="G50" s="177"/>
      <c r="H50" s="178"/>
      <c r="I50" s="38">
        <f t="shared" si="1"/>
        <v>0</v>
      </c>
      <c r="J50" s="35">
        <f t="shared" si="3"/>
        <v>0</v>
      </c>
      <c r="K50" s="36">
        <f t="shared" si="5"/>
        <v>-167.25</v>
      </c>
      <c r="L50" s="251"/>
      <c r="M50" s="252"/>
      <c r="N50" s="252"/>
      <c r="O50" s="252"/>
      <c r="P50" s="253"/>
      <c r="Q50" s="89"/>
      <c r="R50" s="165"/>
      <c r="S50" s="76"/>
      <c r="T50" s="76"/>
      <c r="U50" s="76"/>
      <c r="V50" s="76"/>
      <c r="W50" s="76"/>
      <c r="X50" s="76"/>
      <c r="Y50" s="76"/>
      <c r="Z50" s="76"/>
      <c r="AA50" s="68"/>
      <c r="AB50" s="166"/>
      <c r="AC50" s="6"/>
      <c r="AD50" s="95"/>
      <c r="AE50" s="99"/>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row>
    <row r="51" spans="1:252" s="96" customFormat="1" ht="20.25" customHeight="1">
      <c r="A51" s="32" t="str">
        <f t="shared" si="0"/>
        <v>Montag</v>
      </c>
      <c r="B51" s="37">
        <f t="shared" si="2"/>
        <v>43038</v>
      </c>
      <c r="C51" s="185" t="str">
        <f>IF(OR(A51="Samstag",A51="Sonntag"),"",IF(COUNTIF(Übersicht!C$16:C$30,B51)&gt;0,"BA",""))</f>
        <v/>
      </c>
      <c r="D51" s="38"/>
      <c r="E51" s="172">
        <f t="shared" si="4"/>
        <v>2</v>
      </c>
      <c r="F51" s="176"/>
      <c r="G51" s="177"/>
      <c r="H51" s="178"/>
      <c r="I51" s="38">
        <f t="shared" si="1"/>
        <v>0</v>
      </c>
      <c r="J51" s="35">
        <f t="shared" si="3"/>
        <v>-2</v>
      </c>
      <c r="K51" s="36">
        <f t="shared" si="5"/>
        <v>-169.25</v>
      </c>
      <c r="L51" s="251"/>
      <c r="M51" s="252"/>
      <c r="N51" s="252"/>
      <c r="O51" s="252"/>
      <c r="P51" s="253"/>
      <c r="Q51" s="89"/>
      <c r="R51" s="165"/>
      <c r="S51" s="76"/>
      <c r="T51" s="76"/>
      <c r="U51" s="76"/>
      <c r="V51" s="76"/>
      <c r="W51" s="76"/>
      <c r="X51" s="76"/>
      <c r="Y51" s="76"/>
      <c r="Z51" s="76"/>
      <c r="AA51" s="68"/>
      <c r="AB51" s="166"/>
      <c r="AC51" s="6"/>
      <c r="AD51" s="95"/>
      <c r="AE51" s="99"/>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row>
    <row r="52" spans="1:252" s="96" customFormat="1" ht="20.25" customHeight="1" thickBot="1">
      <c r="A52" s="32" t="str">
        <f t="shared" si="0"/>
        <v>Dienstag</v>
      </c>
      <c r="B52" s="37">
        <f t="shared" si="2"/>
        <v>43039</v>
      </c>
      <c r="C52" s="185" t="str">
        <f>IF(OR(A52="Samstag",A52="Sonntag"),"",IF(COUNTIF(Übersicht!C$16:C$30,B52)&gt;0,"BA",""))</f>
        <v/>
      </c>
      <c r="D52" s="39"/>
      <c r="E52" s="172">
        <f t="shared" si="4"/>
        <v>2</v>
      </c>
      <c r="F52" s="198"/>
      <c r="G52" s="199"/>
      <c r="H52" s="200"/>
      <c r="I52" s="38">
        <f t="shared" si="1"/>
        <v>0</v>
      </c>
      <c r="J52" s="35">
        <f t="shared" si="3"/>
        <v>-2</v>
      </c>
      <c r="K52" s="40">
        <f t="shared" si="5"/>
        <v>-171.25</v>
      </c>
      <c r="L52" s="282"/>
      <c r="M52" s="283"/>
      <c r="N52" s="283"/>
      <c r="O52" s="283"/>
      <c r="P52" s="284"/>
      <c r="Q52" s="89"/>
      <c r="R52" s="165"/>
      <c r="S52" s="77"/>
      <c r="T52" s="77"/>
      <c r="U52" s="77"/>
      <c r="V52" s="77"/>
      <c r="W52" s="77"/>
      <c r="X52" s="77"/>
      <c r="Y52" s="77"/>
      <c r="Z52" s="78"/>
      <c r="AA52" s="68"/>
      <c r="AB52" s="166"/>
      <c r="AC52" s="6"/>
      <c r="AD52" s="95"/>
      <c r="AE52" s="99"/>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row>
    <row r="53" spans="1:252" s="96" customFormat="1" ht="18.75" customHeight="1">
      <c r="A53" s="6"/>
      <c r="B53" s="41" t="s">
        <v>26</v>
      </c>
      <c r="C53" s="42"/>
      <c r="D53" s="43"/>
      <c r="E53" s="43" t="s">
        <v>11</v>
      </c>
      <c r="F53" s="44"/>
      <c r="G53" s="44"/>
      <c r="H53" s="44"/>
      <c r="I53" s="43" t="s">
        <v>20</v>
      </c>
      <c r="J53" s="43" t="s">
        <v>28</v>
      </c>
      <c r="K53" s="43" t="s">
        <v>27</v>
      </c>
      <c r="L53" s="45"/>
      <c r="M53" s="45"/>
      <c r="N53" s="45"/>
      <c r="O53" s="45"/>
      <c r="P53" s="46"/>
      <c r="Q53" s="160"/>
      <c r="R53" s="160"/>
      <c r="S53" s="76"/>
      <c r="T53" s="183"/>
      <c r="U53" s="79"/>
      <c r="V53" s="6"/>
      <c r="W53" s="78"/>
      <c r="X53" s="76"/>
      <c r="Y53" s="80"/>
      <c r="Z53" s="80"/>
      <c r="AA53" s="68"/>
      <c r="AB53" s="68"/>
      <c r="AC53" s="6"/>
      <c r="AD53" s="95"/>
      <c r="AE53" s="99"/>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row>
    <row r="54" spans="1:252" s="96" customFormat="1" ht="18.75" customHeight="1">
      <c r="A54" s="6"/>
      <c r="B54" s="47"/>
      <c r="C54" s="48"/>
      <c r="D54" s="49"/>
      <c r="E54" s="50">
        <f>SUM(E22:E52)</f>
        <v>42</v>
      </c>
      <c r="F54" s="51"/>
      <c r="G54" s="52"/>
      <c r="H54" s="49"/>
      <c r="I54" s="50">
        <f>SUM(I22:I52)</f>
        <v>0</v>
      </c>
      <c r="J54" s="50">
        <f>SUM(J22:J52)</f>
        <v>-42</v>
      </c>
      <c r="K54" s="50">
        <f>K52</f>
        <v>-171.25</v>
      </c>
      <c r="L54" s="91"/>
      <c r="M54" s="91"/>
      <c r="N54" s="91"/>
      <c r="O54" s="91"/>
      <c r="P54" s="53"/>
      <c r="Q54" s="161"/>
      <c r="R54" s="161"/>
      <c r="S54" s="81"/>
      <c r="T54" s="82"/>
      <c r="U54" s="82"/>
      <c r="V54" s="6"/>
      <c r="W54" s="81"/>
      <c r="X54" s="81"/>
      <c r="Y54" s="6"/>
      <c r="Z54" s="6"/>
      <c r="AA54" s="68"/>
      <c r="AB54" s="68"/>
      <c r="AC54" s="6"/>
      <c r="AD54" s="95"/>
      <c r="AE54" s="99"/>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row>
    <row r="55" spans="1:252" s="96" customFormat="1" ht="15">
      <c r="A55" s="6"/>
      <c r="B55" s="54"/>
      <c r="C55" s="54"/>
      <c r="D55" s="54"/>
      <c r="E55" s="54"/>
      <c r="F55" s="55"/>
      <c r="G55" s="56"/>
      <c r="H55" s="100"/>
      <c r="I55" s="6"/>
      <c r="J55" s="101"/>
      <c r="K55" s="257" t="str">
        <f>IF($E$54*1.5&lt;IF($M$7&lt;0,$I$54+$M$7,$I$54),"Überschreitung der zulässigen Monatsarbeitszeit um &gt;50%","")</f>
        <v/>
      </c>
      <c r="L55" s="257"/>
      <c r="M55" s="257"/>
      <c r="N55" s="257"/>
      <c r="O55" s="257"/>
      <c r="P55" s="60"/>
      <c r="Q55" s="162"/>
      <c r="R55" s="162"/>
      <c r="S55" s="83"/>
      <c r="T55" s="83"/>
      <c r="U55" s="83"/>
      <c r="V55" s="6"/>
      <c r="W55" s="6"/>
      <c r="X55" s="76"/>
      <c r="Y55" s="6"/>
      <c r="Z55" s="6"/>
      <c r="AA55" s="68"/>
      <c r="AB55" s="68"/>
      <c r="AC55" s="6"/>
      <c r="AD55" s="95"/>
      <c r="AE55" s="99"/>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row>
    <row r="56" spans="1:252" s="96" customFormat="1" ht="15">
      <c r="A56" s="6"/>
      <c r="B56" s="54"/>
      <c r="C56" s="54"/>
      <c r="D56" s="54"/>
      <c r="E56" s="54"/>
      <c r="F56" s="55"/>
      <c r="G56" s="56"/>
      <c r="H56" s="102"/>
      <c r="I56" s="101"/>
      <c r="J56" s="101"/>
      <c r="K56" s="58"/>
      <c r="L56" s="59"/>
      <c r="M56" s="59"/>
      <c r="N56" s="59"/>
      <c r="O56" s="59"/>
      <c r="P56" s="60"/>
      <c r="Q56" s="162"/>
      <c r="R56" s="162"/>
      <c r="S56" s="83"/>
      <c r="T56" s="83"/>
      <c r="U56" s="83"/>
      <c r="V56" s="6"/>
      <c r="W56" s="6"/>
      <c r="X56" s="81"/>
      <c r="Y56" s="6"/>
      <c r="Z56" s="6"/>
      <c r="AA56" s="68"/>
      <c r="AB56" s="68"/>
      <c r="AC56" s="6"/>
      <c r="AD56" s="95"/>
      <c r="AE56" s="99"/>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row>
    <row r="57" spans="1:252" s="96" customFormat="1" ht="15">
      <c r="A57" s="6"/>
      <c r="B57" s="61"/>
      <c r="C57" s="61"/>
      <c r="D57" s="61"/>
      <c r="E57" s="61"/>
      <c r="F57" s="61"/>
      <c r="G57" s="61"/>
      <c r="H57" s="62"/>
      <c r="I57" s="6"/>
      <c r="J57" s="6"/>
      <c r="K57" s="6" t="s">
        <v>75</v>
      </c>
      <c r="L57" s="6"/>
      <c r="M57" s="6"/>
      <c r="N57" s="6"/>
      <c r="O57" s="57"/>
      <c r="P57" s="24"/>
      <c r="Q57" s="156"/>
      <c r="R57" s="156"/>
      <c r="S57" s="6"/>
      <c r="T57" s="6"/>
      <c r="U57" s="6"/>
      <c r="V57" s="6"/>
      <c r="W57" s="6"/>
      <c r="X57" s="6"/>
      <c r="Y57" s="6"/>
      <c r="Z57" s="6"/>
      <c r="AA57" s="68"/>
      <c r="AB57" s="68"/>
      <c r="AC57" s="6"/>
      <c r="AD57" s="95"/>
      <c r="AE57" s="99"/>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row>
    <row r="58" spans="1:252" s="96" customFormat="1" ht="15">
      <c r="A58" s="6"/>
      <c r="B58" s="62"/>
      <c r="C58" s="62"/>
      <c r="D58" s="62"/>
      <c r="E58" s="62"/>
      <c r="F58" s="62"/>
      <c r="G58" s="62"/>
      <c r="H58" s="32"/>
      <c r="I58" s="103"/>
      <c r="J58" s="68"/>
      <c r="K58" s="6" t="s">
        <v>76</v>
      </c>
      <c r="L58" s="206"/>
      <c r="M58" s="207"/>
      <c r="N58" s="207"/>
      <c r="O58" s="201"/>
      <c r="P58" s="63"/>
      <c r="Q58" s="163"/>
      <c r="R58" s="163"/>
      <c r="S58" s="84"/>
      <c r="T58" s="84"/>
      <c r="U58" s="84"/>
      <c r="V58" s="6"/>
      <c r="W58" s="6"/>
      <c r="X58" s="6"/>
      <c r="Y58" s="6"/>
      <c r="Z58" s="6"/>
      <c r="AA58" s="68"/>
      <c r="AB58" s="68"/>
      <c r="AC58" s="6"/>
      <c r="AD58" s="95"/>
      <c r="AE58" s="99"/>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row>
    <row r="59" spans="1:252" s="96" customFormat="1" ht="15">
      <c r="A59" s="6"/>
      <c r="B59" s="64"/>
      <c r="C59" s="64"/>
      <c r="D59" s="64"/>
      <c r="E59" s="64"/>
      <c r="F59" s="64"/>
      <c r="G59" s="62"/>
      <c r="H59" s="208"/>
      <c r="I59" s="208"/>
      <c r="J59" s="208"/>
      <c r="K59" s="65"/>
      <c r="L59" s="65"/>
      <c r="M59" s="65"/>
      <c r="N59" s="65"/>
      <c r="O59" s="65"/>
      <c r="P59" s="66"/>
      <c r="Q59" s="156"/>
      <c r="R59" s="156"/>
      <c r="S59" s="6"/>
      <c r="T59" s="6"/>
      <c r="U59" s="6"/>
      <c r="V59" s="6"/>
      <c r="W59" s="6"/>
      <c r="X59" s="6"/>
      <c r="Y59" s="6"/>
      <c r="Z59" s="6"/>
      <c r="AA59" s="68"/>
      <c r="AB59" s="68"/>
      <c r="AC59" s="6"/>
      <c r="AD59" s="95"/>
      <c r="AE59" s="99"/>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row>
    <row r="60" spans="1:252" s="96" customFormat="1" ht="15">
      <c r="A60" s="6"/>
      <c r="B60" s="67" t="s">
        <v>4</v>
      </c>
      <c r="C60" s="280" t="s">
        <v>5</v>
      </c>
      <c r="D60" s="280"/>
      <c r="E60" s="280"/>
      <c r="F60" s="280"/>
      <c r="G60" s="281"/>
      <c r="H60" s="32"/>
      <c r="I60" s="104"/>
      <c r="J60" s="6"/>
      <c r="K60" s="67" t="s">
        <v>4</v>
      </c>
      <c r="L60" s="281" t="s">
        <v>66</v>
      </c>
      <c r="M60" s="281"/>
      <c r="N60" s="281"/>
      <c r="O60" s="281"/>
      <c r="P60" s="281"/>
      <c r="Q60" s="24"/>
      <c r="R60" s="6"/>
      <c r="S60" s="6"/>
      <c r="T60" s="6"/>
      <c r="U60" s="6"/>
      <c r="V60" s="6"/>
      <c r="W60" s="6"/>
      <c r="X60" s="6"/>
      <c r="Y60" s="6"/>
      <c r="Z60" s="6"/>
      <c r="AA60" s="68"/>
      <c r="AB60" s="68"/>
      <c r="AC60" s="6"/>
      <c r="AD60" s="95"/>
      <c r="AE60" s="99"/>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row>
    <row r="61" spans="1:252" s="96" customFormat="1" ht="15">
      <c r="A61" s="6"/>
      <c r="B61" s="67"/>
      <c r="C61" s="205"/>
      <c r="D61" s="205"/>
      <c r="E61" s="205"/>
      <c r="F61" s="205"/>
      <c r="G61" s="205"/>
      <c r="H61" s="32"/>
      <c r="I61" s="104"/>
      <c r="J61" s="6"/>
      <c r="K61" s="67"/>
      <c r="L61" s="205"/>
      <c r="M61" s="205"/>
      <c r="N61" s="205"/>
      <c r="O61" s="205"/>
      <c r="P61" s="205"/>
      <c r="Q61" s="24"/>
      <c r="R61" s="6"/>
      <c r="S61" s="6"/>
      <c r="T61" s="6"/>
      <c r="U61" s="6"/>
      <c r="V61" s="6"/>
      <c r="W61" s="6"/>
      <c r="X61" s="6"/>
      <c r="Y61" s="6"/>
      <c r="Z61" s="6"/>
      <c r="AA61" s="68"/>
      <c r="AB61" s="68"/>
      <c r="AC61" s="6"/>
      <c r="AD61" s="95"/>
      <c r="AE61" s="99"/>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row>
    <row r="62" spans="1:252" s="96" customFormat="1" ht="15">
      <c r="A62" s="6"/>
      <c r="B62" s="57"/>
      <c r="C62" s="57"/>
      <c r="D62" s="57"/>
      <c r="E62" s="57"/>
      <c r="F62" s="57"/>
      <c r="G62" s="57"/>
      <c r="H62" s="105" t="s">
        <v>46</v>
      </c>
      <c r="I62" s="32"/>
      <c r="J62" s="106">
        <v>42114</v>
      </c>
      <c r="K62" s="57"/>
      <c r="L62" s="57"/>
      <c r="M62" s="57"/>
      <c r="N62" s="57"/>
      <c r="O62" s="57"/>
      <c r="P62" s="24"/>
      <c r="Q62" s="24"/>
      <c r="R62" s="6"/>
      <c r="S62" s="6"/>
      <c r="T62" s="6"/>
      <c r="U62" s="6"/>
      <c r="V62" s="68"/>
      <c r="W62" s="6"/>
      <c r="X62" s="6"/>
      <c r="Y62" s="6"/>
      <c r="Z62" s="6"/>
      <c r="AA62" s="68"/>
      <c r="AB62" s="68"/>
      <c r="AC62" s="6"/>
      <c r="AD62" s="95"/>
      <c r="AE62" s="99"/>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row>
    <row r="63" spans="1:252" s="96" customFormat="1" ht="15" hidden="1">
      <c r="A63" s="6"/>
      <c r="B63" s="57"/>
      <c r="C63" s="57"/>
      <c r="D63" s="57"/>
      <c r="E63" s="57"/>
      <c r="F63" s="57"/>
      <c r="G63" s="57"/>
      <c r="H63" s="57"/>
      <c r="I63" s="57"/>
      <c r="J63" s="57"/>
      <c r="K63" s="57"/>
      <c r="L63" s="57"/>
      <c r="M63" s="57"/>
      <c r="N63" s="57"/>
      <c r="O63" s="57"/>
      <c r="P63" s="24"/>
      <c r="Q63" s="24"/>
      <c r="R63" s="6"/>
      <c r="S63" s="6"/>
      <c r="T63" s="6"/>
      <c r="U63" s="6"/>
      <c r="V63" s="6"/>
      <c r="W63" s="6"/>
      <c r="X63" s="6"/>
      <c r="Y63" s="6"/>
      <c r="Z63" s="6"/>
      <c r="AA63" s="68"/>
      <c r="AB63" s="68"/>
      <c r="AC63" s="6"/>
      <c r="AD63" s="95"/>
      <c r="AE63" s="99"/>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row>
    <row r="64" spans="1:252" s="96" customFormat="1" ht="15" hidden="1">
      <c r="A64" s="6"/>
      <c r="B64" s="57"/>
      <c r="C64" s="57"/>
      <c r="D64" s="57"/>
      <c r="E64" s="57"/>
      <c r="F64" s="57"/>
      <c r="G64" s="57"/>
      <c r="H64" s="57"/>
      <c r="I64" s="57"/>
      <c r="J64" s="57"/>
      <c r="K64" s="57"/>
      <c r="L64" s="57"/>
      <c r="M64" s="57"/>
      <c r="N64" s="57"/>
      <c r="O64" s="57"/>
      <c r="P64" s="24"/>
      <c r="Q64" s="24"/>
      <c r="R64" s="6"/>
      <c r="S64" s="6"/>
      <c r="T64" s="6"/>
      <c r="U64" s="6"/>
      <c r="V64" s="6"/>
      <c r="W64" s="6"/>
      <c r="X64" s="6"/>
      <c r="Y64" s="6"/>
      <c r="Z64" s="6"/>
      <c r="AA64" s="68"/>
      <c r="AB64" s="68"/>
      <c r="AC64" s="6"/>
      <c r="AD64" s="95"/>
      <c r="AE64" s="99"/>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row>
    <row r="65" spans="1:252" s="96" customFormat="1" ht="15" hidden="1">
      <c r="A65" s="6"/>
      <c r="B65" s="57"/>
      <c r="C65" s="57"/>
      <c r="D65" s="57"/>
      <c r="E65" s="57"/>
      <c r="F65" s="57"/>
      <c r="G65" s="57"/>
      <c r="H65" s="57"/>
      <c r="I65" s="57"/>
      <c r="J65" s="57"/>
      <c r="K65" s="57"/>
      <c r="L65" s="57"/>
      <c r="M65" s="57"/>
      <c r="N65" s="57"/>
      <c r="O65" s="57"/>
      <c r="P65" s="24"/>
      <c r="Q65" s="24"/>
      <c r="R65" s="6"/>
      <c r="S65" s="6"/>
      <c r="T65" s="6"/>
      <c r="U65" s="6"/>
      <c r="V65" s="6"/>
      <c r="W65" s="6"/>
      <c r="X65" s="6"/>
      <c r="Y65" s="6"/>
      <c r="Z65" s="6"/>
      <c r="AA65" s="68"/>
      <c r="AB65" s="68"/>
      <c r="AC65" s="6"/>
      <c r="AD65" s="95"/>
      <c r="AE65" s="99"/>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row>
    <row r="66" spans="1:252" s="96" customFormat="1" ht="15" hidden="1">
      <c r="A66" s="6"/>
      <c r="B66" s="57"/>
      <c r="C66" s="57"/>
      <c r="D66" s="57"/>
      <c r="E66" s="57"/>
      <c r="F66" s="57"/>
      <c r="G66" s="57"/>
      <c r="H66" s="57"/>
      <c r="I66" s="57"/>
      <c r="J66" s="57"/>
      <c r="K66" s="57"/>
      <c r="L66" s="57"/>
      <c r="M66" s="57"/>
      <c r="N66" s="57"/>
      <c r="O66" s="57"/>
      <c r="P66" s="24"/>
      <c r="Q66" s="24"/>
      <c r="R66" s="6"/>
      <c r="S66" s="6"/>
      <c r="T66" s="6"/>
      <c r="U66" s="6"/>
      <c r="V66" s="6"/>
      <c r="W66" s="6"/>
      <c r="X66" s="6"/>
      <c r="Y66" s="6"/>
      <c r="Z66" s="6"/>
      <c r="AA66" s="68"/>
      <c r="AB66" s="68"/>
      <c r="AC66" s="6"/>
      <c r="AD66" s="95"/>
      <c r="AE66" s="99"/>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row>
    <row r="67" spans="1:252" s="96" customFormat="1" ht="15" hidden="1">
      <c r="A67" s="6"/>
      <c r="B67" s="57"/>
      <c r="C67" s="57"/>
      <c r="D67" s="57"/>
      <c r="E67" s="57"/>
      <c r="F67" s="57"/>
      <c r="G67" s="57"/>
      <c r="H67" s="57"/>
      <c r="I67" s="57"/>
      <c r="J67" s="57"/>
      <c r="K67" s="57"/>
      <c r="L67" s="57"/>
      <c r="M67" s="57"/>
      <c r="N67" s="57"/>
      <c r="O67" s="57"/>
      <c r="P67" s="24"/>
      <c r="Q67" s="24"/>
      <c r="R67" s="6"/>
      <c r="S67" s="6"/>
      <c r="T67" s="6"/>
      <c r="U67" s="6"/>
      <c r="V67" s="6"/>
      <c r="W67" s="6"/>
      <c r="X67" s="6"/>
      <c r="Y67" s="6"/>
      <c r="Z67" s="6"/>
      <c r="AA67" s="68"/>
      <c r="AB67" s="68"/>
      <c r="AC67" s="6"/>
      <c r="AD67" s="95"/>
      <c r="AE67" s="99"/>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row>
    <row r="68" spans="1:252" s="96" customFormat="1" ht="15" hidden="1">
      <c r="A68" s="6"/>
      <c r="B68" s="57"/>
      <c r="C68" s="57"/>
      <c r="D68" s="57"/>
      <c r="E68" s="57"/>
      <c r="F68" s="57"/>
      <c r="G68" s="57"/>
      <c r="H68" s="57"/>
      <c r="I68" s="57"/>
      <c r="J68" s="57"/>
      <c r="K68" s="57"/>
      <c r="L68" s="57"/>
      <c r="M68" s="57"/>
      <c r="N68" s="57"/>
      <c r="O68" s="57"/>
      <c r="P68" s="24"/>
      <c r="Q68" s="24"/>
      <c r="R68" s="6"/>
      <c r="S68" s="6"/>
      <c r="T68" s="6"/>
      <c r="U68" s="6"/>
      <c r="V68" s="6"/>
      <c r="W68" s="6"/>
      <c r="X68" s="6"/>
      <c r="Y68" s="6"/>
      <c r="Z68" s="6"/>
      <c r="AA68" s="68"/>
      <c r="AB68" s="68"/>
      <c r="AC68" s="6"/>
      <c r="AD68" s="95"/>
      <c r="AE68" s="99"/>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row>
    <row r="69" spans="1:252" s="96" customFormat="1" ht="15" hidden="1">
      <c r="A69" s="6"/>
      <c r="B69" s="57"/>
      <c r="C69" s="57"/>
      <c r="D69" s="57"/>
      <c r="E69" s="57"/>
      <c r="F69" s="57"/>
      <c r="G69" s="57"/>
      <c r="H69" s="57"/>
      <c r="I69" s="57"/>
      <c r="J69" s="57"/>
      <c r="K69" s="57"/>
      <c r="L69" s="57"/>
      <c r="M69" s="57"/>
      <c r="N69" s="57"/>
      <c r="O69" s="57"/>
      <c r="P69" s="24"/>
      <c r="Q69" s="24"/>
      <c r="R69" s="6"/>
      <c r="S69" s="6"/>
      <c r="T69" s="6"/>
      <c r="U69" s="6"/>
      <c r="V69" s="6"/>
      <c r="W69" s="6"/>
      <c r="X69" s="6"/>
      <c r="Y69" s="6"/>
      <c r="Z69" s="6"/>
      <c r="AA69" s="68"/>
      <c r="AB69" s="68"/>
      <c r="AC69" s="6"/>
      <c r="AD69" s="95"/>
      <c r="AE69" s="99"/>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row>
    <row r="70" spans="1:252" s="96" customFormat="1" ht="15" hidden="1">
      <c r="A70" s="6"/>
      <c r="B70" s="57"/>
      <c r="C70" s="57"/>
      <c r="D70" s="57"/>
      <c r="E70" s="57"/>
      <c r="F70" s="57"/>
      <c r="G70" s="57"/>
      <c r="H70" s="57"/>
      <c r="I70" s="57"/>
      <c r="J70" s="57"/>
      <c r="K70" s="57"/>
      <c r="L70" s="57"/>
      <c r="M70" s="57"/>
      <c r="N70" s="57"/>
      <c r="O70" s="57"/>
      <c r="P70" s="24"/>
      <c r="Q70" s="24"/>
      <c r="R70" s="6"/>
      <c r="S70" s="6"/>
      <c r="T70" s="6"/>
      <c r="U70" s="6"/>
      <c r="V70" s="6"/>
      <c r="W70" s="6"/>
      <c r="X70" s="6"/>
      <c r="Y70" s="6"/>
      <c r="Z70" s="6"/>
      <c r="AA70" s="68"/>
      <c r="AB70" s="68"/>
      <c r="AC70" s="6"/>
      <c r="AD70" s="95"/>
      <c r="AE70" s="99"/>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row>
    <row r="71" spans="1:252" s="96" customFormat="1" ht="15" hidden="1">
      <c r="A71" s="6"/>
      <c r="B71" s="57"/>
      <c r="C71" s="57"/>
      <c r="D71" s="57"/>
      <c r="E71" s="57"/>
      <c r="F71" s="57"/>
      <c r="G71" s="57"/>
      <c r="H71" s="57"/>
      <c r="I71" s="57"/>
      <c r="J71" s="57"/>
      <c r="K71" s="57"/>
      <c r="L71" s="57"/>
      <c r="M71" s="57"/>
      <c r="N71" s="57"/>
      <c r="O71" s="57"/>
      <c r="P71" s="24"/>
      <c r="Q71" s="24"/>
      <c r="R71" s="6"/>
      <c r="S71" s="6"/>
      <c r="T71" s="6"/>
      <c r="U71" s="6"/>
      <c r="V71" s="6"/>
      <c r="W71" s="6"/>
      <c r="X71" s="6"/>
      <c r="Y71" s="6"/>
      <c r="Z71" s="6"/>
      <c r="AA71" s="68"/>
      <c r="AB71" s="68"/>
      <c r="AC71" s="6"/>
      <c r="AD71" s="95"/>
      <c r="AE71" s="99"/>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row>
    <row r="72" spans="1:252" s="96" customFormat="1" ht="15" hidden="1">
      <c r="A72" s="6"/>
      <c r="B72" s="57"/>
      <c r="C72" s="57"/>
      <c r="D72" s="57"/>
      <c r="E72" s="57"/>
      <c r="F72" s="57"/>
      <c r="G72" s="57"/>
      <c r="H72" s="57"/>
      <c r="I72" s="57"/>
      <c r="J72" s="57"/>
      <c r="K72" s="57"/>
      <c r="L72" s="57"/>
      <c r="M72" s="57"/>
      <c r="N72" s="57"/>
      <c r="O72" s="57"/>
      <c r="P72" s="24"/>
      <c r="Q72" s="24"/>
      <c r="R72" s="6"/>
      <c r="S72" s="6"/>
      <c r="T72" s="6"/>
      <c r="U72" s="6"/>
      <c r="V72" s="6"/>
      <c r="W72" s="6"/>
      <c r="X72" s="6"/>
      <c r="Y72" s="6"/>
      <c r="Z72" s="6"/>
      <c r="AA72" s="68"/>
      <c r="AB72" s="68"/>
      <c r="AC72" s="6"/>
      <c r="AD72" s="95"/>
      <c r="AE72" s="99"/>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row>
    <row r="73" spans="1:252" s="96" customFormat="1" ht="15" hidden="1">
      <c r="A73" s="6"/>
      <c r="B73" s="57"/>
      <c r="C73" s="57"/>
      <c r="D73" s="57"/>
      <c r="E73" s="57"/>
      <c r="F73" s="57"/>
      <c r="G73" s="57"/>
      <c r="H73" s="57"/>
      <c r="I73" s="57"/>
      <c r="J73" s="57"/>
      <c r="K73" s="57"/>
      <c r="L73" s="57"/>
      <c r="M73" s="57"/>
      <c r="N73" s="57"/>
      <c r="O73" s="57"/>
      <c r="P73" s="24"/>
      <c r="Q73" s="24"/>
      <c r="R73" s="6"/>
      <c r="S73" s="6"/>
      <c r="T73" s="6"/>
      <c r="U73" s="6"/>
      <c r="V73" s="6"/>
      <c r="W73" s="6"/>
      <c r="X73" s="6"/>
      <c r="Y73" s="6"/>
      <c r="Z73" s="6"/>
      <c r="AA73" s="68"/>
      <c r="AB73" s="68"/>
      <c r="AC73" s="6"/>
      <c r="AD73" s="95"/>
      <c r="AE73" s="99"/>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c r="HR73" s="3"/>
      <c r="HS73" s="3"/>
      <c r="HT73" s="3"/>
      <c r="HU73" s="3"/>
      <c r="HV73" s="3"/>
      <c r="HW73" s="3"/>
      <c r="HX73" s="3"/>
      <c r="HY73" s="3"/>
      <c r="HZ73" s="3"/>
      <c r="IA73" s="3"/>
      <c r="IB73" s="3"/>
      <c r="IC73" s="3"/>
      <c r="ID73" s="3"/>
      <c r="IE73" s="3"/>
      <c r="IF73" s="3"/>
      <c r="IG73" s="3"/>
      <c r="IH73" s="3"/>
      <c r="II73" s="3"/>
      <c r="IJ73" s="3"/>
      <c r="IK73" s="3"/>
      <c r="IL73" s="3"/>
      <c r="IM73" s="3"/>
      <c r="IN73" s="3"/>
      <c r="IO73" s="3"/>
      <c r="IP73" s="3"/>
      <c r="IQ73" s="3"/>
      <c r="IR73" s="3"/>
    </row>
    <row r="74" spans="1:252" s="96" customFormat="1" ht="15" hidden="1">
      <c r="A74" s="6"/>
      <c r="B74" s="57"/>
      <c r="C74" s="57"/>
      <c r="D74" s="57"/>
      <c r="E74" s="57"/>
      <c r="F74" s="57"/>
      <c r="G74" s="57"/>
      <c r="H74" s="57"/>
      <c r="I74" s="57"/>
      <c r="J74" s="57"/>
      <c r="K74" s="57"/>
      <c r="L74" s="57"/>
      <c r="M74" s="57"/>
      <c r="N74" s="57"/>
      <c r="O74" s="57"/>
      <c r="P74" s="24"/>
      <c r="Q74" s="24"/>
      <c r="R74" s="6"/>
      <c r="S74" s="6"/>
      <c r="T74" s="6"/>
      <c r="U74" s="6"/>
      <c r="V74" s="6"/>
      <c r="W74" s="6"/>
      <c r="X74" s="6"/>
      <c r="Y74" s="6"/>
      <c r="Z74" s="6"/>
      <c r="AA74" s="68"/>
      <c r="AB74" s="68"/>
      <c r="AC74" s="6"/>
      <c r="AD74" s="95"/>
      <c r="AE74" s="99"/>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row>
    <row r="75" spans="1:252" s="96" customFormat="1" ht="15" hidden="1">
      <c r="A75" s="6"/>
      <c r="B75" s="57"/>
      <c r="C75" s="57"/>
      <c r="D75" s="57"/>
      <c r="E75" s="57"/>
      <c r="F75" s="57"/>
      <c r="G75" s="57"/>
      <c r="H75" s="57"/>
      <c r="I75" s="57"/>
      <c r="J75" s="57"/>
      <c r="K75" s="57"/>
      <c r="L75" s="57"/>
      <c r="M75" s="57"/>
      <c r="N75" s="57"/>
      <c r="O75" s="57"/>
      <c r="P75" s="24"/>
      <c r="Q75" s="24"/>
      <c r="R75" s="6"/>
      <c r="S75" s="6"/>
      <c r="T75" s="6"/>
      <c r="U75" s="6"/>
      <c r="V75" s="6"/>
      <c r="W75" s="6"/>
      <c r="X75" s="6"/>
      <c r="Y75" s="6"/>
      <c r="Z75" s="6"/>
      <c r="AA75" s="68"/>
      <c r="AB75" s="68"/>
      <c r="AC75" s="6"/>
      <c r="AD75" s="95"/>
      <c r="AE75" s="99"/>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row>
    <row r="76" spans="1:252" s="96" customFormat="1" ht="15" hidden="1">
      <c r="A76" s="6"/>
      <c r="B76" s="57"/>
      <c r="C76" s="57"/>
      <c r="D76" s="57"/>
      <c r="E76" s="57"/>
      <c r="F76" s="57"/>
      <c r="G76" s="57"/>
      <c r="H76" s="57"/>
      <c r="I76" s="57"/>
      <c r="J76" s="57"/>
      <c r="K76" s="57"/>
      <c r="L76" s="57"/>
      <c r="M76" s="57"/>
      <c r="N76" s="57"/>
      <c r="O76" s="57"/>
      <c r="P76" s="24"/>
      <c r="Q76" s="24"/>
      <c r="R76" s="6"/>
      <c r="S76" s="6"/>
      <c r="T76" s="6"/>
      <c r="U76" s="6"/>
      <c r="V76" s="6"/>
      <c r="W76" s="6"/>
      <c r="X76" s="6"/>
      <c r="Y76" s="6"/>
      <c r="Z76" s="6"/>
      <c r="AA76" s="68"/>
      <c r="AB76" s="68"/>
      <c r="AC76" s="6"/>
      <c r="AD76" s="95"/>
      <c r="AE76" s="99"/>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row>
    <row r="77" spans="1:252" s="96" customFormat="1" ht="15" hidden="1">
      <c r="A77" s="6"/>
      <c r="B77" s="57"/>
      <c r="C77" s="57"/>
      <c r="D77" s="57"/>
      <c r="E77" s="57"/>
      <c r="F77" s="57"/>
      <c r="G77" s="57"/>
      <c r="H77" s="57"/>
      <c r="I77" s="57"/>
      <c r="J77" s="57"/>
      <c r="K77" s="57"/>
      <c r="L77" s="57"/>
      <c r="M77" s="57"/>
      <c r="N77" s="57"/>
      <c r="O77" s="57"/>
      <c r="P77" s="24"/>
      <c r="Q77" s="24"/>
      <c r="R77" s="6"/>
      <c r="S77" s="6"/>
      <c r="T77" s="6"/>
      <c r="U77" s="6"/>
      <c r="V77" s="6"/>
      <c r="W77" s="6"/>
      <c r="X77" s="6"/>
      <c r="Y77" s="6"/>
      <c r="Z77" s="6"/>
      <c r="AA77" s="68"/>
      <c r="AB77" s="68"/>
      <c r="AC77" s="6"/>
      <c r="AD77" s="95"/>
      <c r="AE77" s="99"/>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c r="HF77" s="3"/>
      <c r="HG77" s="3"/>
      <c r="HH77" s="3"/>
      <c r="HI77" s="3"/>
      <c r="HJ77" s="3"/>
      <c r="HK77" s="3"/>
      <c r="HL77" s="3"/>
      <c r="HM77" s="3"/>
      <c r="HN77" s="3"/>
      <c r="HO77" s="3"/>
      <c r="HP77" s="3"/>
      <c r="HQ77" s="3"/>
      <c r="HR77" s="3"/>
      <c r="HS77" s="3"/>
      <c r="HT77" s="3"/>
      <c r="HU77" s="3"/>
      <c r="HV77" s="3"/>
      <c r="HW77" s="3"/>
      <c r="HX77" s="3"/>
      <c r="HY77" s="3"/>
      <c r="HZ77" s="3"/>
      <c r="IA77" s="3"/>
      <c r="IB77" s="3"/>
      <c r="IC77" s="3"/>
      <c r="ID77" s="3"/>
      <c r="IE77" s="3"/>
      <c r="IF77" s="3"/>
      <c r="IG77" s="3"/>
      <c r="IH77" s="3"/>
      <c r="II77" s="3"/>
      <c r="IJ77" s="3"/>
      <c r="IK77" s="3"/>
      <c r="IL77" s="3"/>
      <c r="IM77" s="3"/>
      <c r="IN77" s="3"/>
      <c r="IO77" s="3"/>
      <c r="IP77" s="3"/>
      <c r="IQ77" s="3"/>
      <c r="IR77" s="3"/>
    </row>
    <row r="78" spans="1:252" s="96" customFormat="1" ht="15" hidden="1">
      <c r="A78" s="6"/>
      <c r="B78" s="57"/>
      <c r="C78" s="57"/>
      <c r="D78" s="57"/>
      <c r="E78" s="57"/>
      <c r="F78" s="57"/>
      <c r="G78" s="57"/>
      <c r="H78" s="57"/>
      <c r="I78" s="57"/>
      <c r="J78" s="57"/>
      <c r="K78" s="57"/>
      <c r="L78" s="57"/>
      <c r="M78" s="57"/>
      <c r="N78" s="57"/>
      <c r="O78" s="57"/>
      <c r="P78" s="24"/>
      <c r="Q78" s="24"/>
      <c r="R78" s="6"/>
      <c r="S78" s="6"/>
      <c r="T78" s="6"/>
      <c r="U78" s="6"/>
      <c r="V78" s="6"/>
      <c r="W78" s="6"/>
      <c r="X78" s="6"/>
      <c r="Y78" s="6"/>
      <c r="Z78" s="6"/>
      <c r="AA78" s="68"/>
      <c r="AB78" s="68"/>
      <c r="AC78" s="6"/>
      <c r="AD78" s="95"/>
      <c r="AE78" s="99"/>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c r="HF78" s="3"/>
      <c r="HG78" s="3"/>
      <c r="HH78" s="3"/>
      <c r="HI78" s="3"/>
      <c r="HJ78" s="3"/>
      <c r="HK78" s="3"/>
      <c r="HL78" s="3"/>
      <c r="HM78" s="3"/>
      <c r="HN78" s="3"/>
      <c r="HO78" s="3"/>
      <c r="HP78" s="3"/>
      <c r="HQ78" s="3"/>
      <c r="HR78" s="3"/>
      <c r="HS78" s="3"/>
      <c r="HT78" s="3"/>
      <c r="HU78" s="3"/>
      <c r="HV78" s="3"/>
      <c r="HW78" s="3"/>
      <c r="HX78" s="3"/>
      <c r="HY78" s="3"/>
      <c r="HZ78" s="3"/>
      <c r="IA78" s="3"/>
      <c r="IB78" s="3"/>
      <c r="IC78" s="3"/>
      <c r="ID78" s="3"/>
      <c r="IE78" s="3"/>
      <c r="IF78" s="3"/>
      <c r="IG78" s="3"/>
      <c r="IH78" s="3"/>
      <c r="II78" s="3"/>
      <c r="IJ78" s="3"/>
      <c r="IK78" s="3"/>
      <c r="IL78" s="3"/>
      <c r="IM78" s="3"/>
      <c r="IN78" s="3"/>
      <c r="IO78" s="3"/>
      <c r="IP78" s="3"/>
      <c r="IQ78" s="3"/>
      <c r="IR78" s="3"/>
    </row>
    <row r="79" spans="1:252" s="96" customFormat="1" ht="15" hidden="1">
      <c r="A79" s="6"/>
      <c r="B79" s="57"/>
      <c r="C79" s="57"/>
      <c r="D79" s="57"/>
      <c r="E79" s="57"/>
      <c r="F79" s="57"/>
      <c r="G79" s="57"/>
      <c r="H79" s="57"/>
      <c r="I79" s="57"/>
      <c r="J79" s="57"/>
      <c r="K79" s="57"/>
      <c r="L79" s="57"/>
      <c r="M79" s="57"/>
      <c r="N79" s="57"/>
      <c r="O79" s="57"/>
      <c r="P79" s="24"/>
      <c r="Q79" s="24"/>
      <c r="R79" s="6"/>
      <c r="S79" s="6"/>
      <c r="T79" s="6"/>
      <c r="U79" s="6"/>
      <c r="V79" s="6"/>
      <c r="W79" s="6"/>
      <c r="X79" s="6"/>
      <c r="Y79" s="6"/>
      <c r="Z79" s="6"/>
      <c r="AA79" s="68"/>
      <c r="AB79" s="68"/>
      <c r="AC79" s="6"/>
      <c r="AD79" s="95"/>
      <c r="AE79" s="99"/>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c r="HF79" s="3"/>
      <c r="HG79" s="3"/>
      <c r="HH79" s="3"/>
      <c r="HI79" s="3"/>
      <c r="HJ79" s="3"/>
      <c r="HK79" s="3"/>
      <c r="HL79" s="3"/>
      <c r="HM79" s="3"/>
      <c r="HN79" s="3"/>
      <c r="HO79" s="3"/>
      <c r="HP79" s="3"/>
      <c r="HQ79" s="3"/>
      <c r="HR79" s="3"/>
      <c r="HS79" s="3"/>
      <c r="HT79" s="3"/>
      <c r="HU79" s="3"/>
      <c r="HV79" s="3"/>
      <c r="HW79" s="3"/>
      <c r="HX79" s="3"/>
      <c r="HY79" s="3"/>
      <c r="HZ79" s="3"/>
      <c r="IA79" s="3"/>
      <c r="IB79" s="3"/>
      <c r="IC79" s="3"/>
      <c r="ID79" s="3"/>
      <c r="IE79" s="3"/>
      <c r="IF79" s="3"/>
      <c r="IG79" s="3"/>
      <c r="IH79" s="3"/>
      <c r="II79" s="3"/>
      <c r="IJ79" s="3"/>
      <c r="IK79" s="3"/>
      <c r="IL79" s="3"/>
      <c r="IM79" s="3"/>
      <c r="IN79" s="3"/>
      <c r="IO79" s="3"/>
      <c r="IP79" s="3"/>
      <c r="IQ79" s="3"/>
      <c r="IR79" s="3"/>
    </row>
    <row r="80" spans="1:252" s="96" customFormat="1" ht="15" hidden="1">
      <c r="A80" s="6"/>
      <c r="B80" s="57"/>
      <c r="C80" s="57"/>
      <c r="D80" s="57"/>
      <c r="E80" s="57"/>
      <c r="F80" s="57"/>
      <c r="G80" s="57"/>
      <c r="H80" s="57"/>
      <c r="I80" s="57"/>
      <c r="J80" s="57"/>
      <c r="K80" s="57"/>
      <c r="L80" s="57"/>
      <c r="M80" s="57"/>
      <c r="N80" s="57"/>
      <c r="O80" s="57"/>
      <c r="P80" s="24"/>
      <c r="Q80" s="24"/>
      <c r="R80" s="6"/>
      <c r="S80" s="6"/>
      <c r="T80" s="6"/>
      <c r="U80" s="6"/>
      <c r="V80" s="6"/>
      <c r="W80" s="6"/>
      <c r="X80" s="6"/>
      <c r="Y80" s="6"/>
      <c r="Z80" s="6"/>
      <c r="AA80" s="68"/>
      <c r="AB80" s="68"/>
      <c r="AC80" s="6"/>
      <c r="AD80" s="95"/>
      <c r="AE80" s="99"/>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c r="HF80" s="3"/>
      <c r="HG80" s="3"/>
      <c r="HH80" s="3"/>
      <c r="HI80" s="3"/>
      <c r="HJ80" s="3"/>
      <c r="HK80" s="3"/>
      <c r="HL80" s="3"/>
      <c r="HM80" s="3"/>
      <c r="HN80" s="3"/>
      <c r="HO80" s="3"/>
      <c r="HP80" s="3"/>
      <c r="HQ80" s="3"/>
      <c r="HR80" s="3"/>
      <c r="HS80" s="3"/>
      <c r="HT80" s="3"/>
      <c r="HU80" s="3"/>
      <c r="HV80" s="3"/>
      <c r="HW80" s="3"/>
      <c r="HX80" s="3"/>
      <c r="HY80" s="3"/>
      <c r="HZ80" s="3"/>
      <c r="IA80" s="3"/>
      <c r="IB80" s="3"/>
      <c r="IC80" s="3"/>
      <c r="ID80" s="3"/>
      <c r="IE80" s="3"/>
      <c r="IF80" s="3"/>
      <c r="IG80" s="3"/>
      <c r="IH80" s="3"/>
      <c r="II80" s="3"/>
      <c r="IJ80" s="3"/>
      <c r="IK80" s="3"/>
      <c r="IL80" s="3"/>
      <c r="IM80" s="3"/>
      <c r="IN80" s="3"/>
      <c r="IO80" s="3"/>
      <c r="IP80" s="3"/>
      <c r="IQ80" s="3"/>
      <c r="IR80" s="3"/>
    </row>
  </sheetData>
  <sheetProtection password="EE1F" sheet="1" objects="1" scenarios="1" selectLockedCells="1"/>
  <protectedRanges>
    <protectedRange sqref="M7 F12 I13:M13 F16 E17 I17:M17 F22:H52 L23:P52 C22:C52" name="Eingabebereich"/>
  </protectedRanges>
  <mergeCells count="47">
    <mergeCell ref="L21:P21"/>
    <mergeCell ref="B2:H2"/>
    <mergeCell ref="I2:J2"/>
    <mergeCell ref="K2:L2"/>
    <mergeCell ref="E5:H5"/>
    <mergeCell ref="M5:O5"/>
    <mergeCell ref="E7:H7"/>
    <mergeCell ref="M7:O7"/>
    <mergeCell ref="E17:F17"/>
    <mergeCell ref="C20:E20"/>
    <mergeCell ref="F20:H20"/>
    <mergeCell ref="I20:K20"/>
    <mergeCell ref="L20:P20"/>
    <mergeCell ref="L33:P33"/>
    <mergeCell ref="L22:P22"/>
    <mergeCell ref="L23:P23"/>
    <mergeCell ref="L24:P24"/>
    <mergeCell ref="L25:P25"/>
    <mergeCell ref="L26:P26"/>
    <mergeCell ref="L27:P27"/>
    <mergeCell ref="L28:P28"/>
    <mergeCell ref="L29:P29"/>
    <mergeCell ref="L30:P30"/>
    <mergeCell ref="L31:P31"/>
    <mergeCell ref="L32:P32"/>
    <mergeCell ref="L45:P45"/>
    <mergeCell ref="L34:P34"/>
    <mergeCell ref="L35:P35"/>
    <mergeCell ref="L36:P36"/>
    <mergeCell ref="L37:P37"/>
    <mergeCell ref="L38:P38"/>
    <mergeCell ref="L39:P39"/>
    <mergeCell ref="L40:P40"/>
    <mergeCell ref="L41:P41"/>
    <mergeCell ref="L42:P42"/>
    <mergeCell ref="L43:P43"/>
    <mergeCell ref="L44:P44"/>
    <mergeCell ref="L52:P52"/>
    <mergeCell ref="K55:O55"/>
    <mergeCell ref="C60:G60"/>
    <mergeCell ref="L60:P60"/>
    <mergeCell ref="L46:P46"/>
    <mergeCell ref="L47:P47"/>
    <mergeCell ref="L48:P48"/>
    <mergeCell ref="L49:P49"/>
    <mergeCell ref="L50:P50"/>
    <mergeCell ref="L51:P51"/>
  </mergeCells>
  <conditionalFormatting sqref="C22:I52 L23:L39 L44:L52">
    <cfRule type="expression" dxfId="551" priority="243" stopIfTrue="1">
      <formula>OR(($A22="Samstag"),($A22="Sonntag"),($AA22=TRUE()))</formula>
    </cfRule>
  </conditionalFormatting>
  <conditionalFormatting sqref="B22:B52">
    <cfRule type="expression" dxfId="550" priority="119" stopIfTrue="1">
      <formula>$AA22=TRUE()</formula>
    </cfRule>
    <cfRule type="expression" dxfId="549" priority="123" stopIfTrue="1">
      <formula>OR(($A22="Samstag"),($A22="Sonntag"))</formula>
    </cfRule>
    <cfRule type="expression" dxfId="548" priority="124" stopIfTrue="1">
      <formula>AND($E$17&lt;&gt;"",$B22&gt;=$E$17)</formula>
    </cfRule>
  </conditionalFormatting>
  <conditionalFormatting sqref="F32:H32 L23:L39">
    <cfRule type="expression" dxfId="547" priority="242" stopIfTrue="1">
      <formula>OR(($A23="Samstag"),($A23="Sonntag"))</formula>
    </cfRule>
  </conditionalFormatting>
  <conditionalFormatting sqref="F32:H32">
    <cfRule type="expression" dxfId="546" priority="241" stopIfTrue="1">
      <formula>OR(($A32="Samstag"),($A32="Sonntag"))</formula>
    </cfRule>
  </conditionalFormatting>
  <conditionalFormatting sqref="F52:H52">
    <cfRule type="expression" dxfId="545" priority="230" stopIfTrue="1">
      <formula>OR(($A52="Samstag"),($A52="Sonntag"))</formula>
    </cfRule>
  </conditionalFormatting>
  <conditionalFormatting sqref="F52:H52">
    <cfRule type="expression" dxfId="544" priority="229" stopIfTrue="1">
      <formula>OR(($A52="Samstag"),($A52="Sonntag"))</formula>
    </cfRule>
  </conditionalFormatting>
  <conditionalFormatting sqref="F46:H46">
    <cfRule type="expression" dxfId="543" priority="233" stopIfTrue="1">
      <formula>OR(($A46="Samstag"),($A46="Sonntag"))</formula>
    </cfRule>
  </conditionalFormatting>
  <conditionalFormatting sqref="F32:H32">
    <cfRule type="expression" dxfId="542" priority="237" stopIfTrue="1">
      <formula>OR(($A32="Samstag"),($A32="Sonntag"))</formula>
    </cfRule>
  </conditionalFormatting>
  <conditionalFormatting sqref="F24:H25">
    <cfRule type="expression" dxfId="541" priority="240" stopIfTrue="1">
      <formula>OR(($A24="Samstag"),($A24="Sonntag"))</formula>
    </cfRule>
  </conditionalFormatting>
  <conditionalFormatting sqref="F24:H24">
    <cfRule type="expression" dxfId="540" priority="239" stopIfTrue="1">
      <formula>OR(($A24="Samstag"),($A24="Sonntag"))</formula>
    </cfRule>
  </conditionalFormatting>
  <conditionalFormatting sqref="F25:H25">
    <cfRule type="expression" dxfId="539" priority="238" stopIfTrue="1">
      <formula>OR(($A25="Samstag"),($A25="Sonntag"))</formula>
    </cfRule>
  </conditionalFormatting>
  <conditionalFormatting sqref="F39:H39">
    <cfRule type="expression" dxfId="538" priority="235" stopIfTrue="1">
      <formula>OR(($A39="Samstag"),($A39="Sonntag"))</formula>
    </cfRule>
  </conditionalFormatting>
  <conditionalFormatting sqref="F39:H39">
    <cfRule type="expression" dxfId="537" priority="236" stopIfTrue="1">
      <formula>OR(($A39="Samstag"),($A39="Sonntag"))</formula>
    </cfRule>
  </conditionalFormatting>
  <conditionalFormatting sqref="F39:H39">
    <cfRule type="expression" dxfId="536" priority="234" stopIfTrue="1">
      <formula>OR(($A39="Samstag"),($A39="Sonntag"))</formula>
    </cfRule>
  </conditionalFormatting>
  <conditionalFormatting sqref="F46:H46">
    <cfRule type="expression" dxfId="535" priority="232" stopIfTrue="1">
      <formula>OR(($A46="Samstag"),($A46="Sonntag"))</formula>
    </cfRule>
  </conditionalFormatting>
  <conditionalFormatting sqref="F46:H46">
    <cfRule type="expression" dxfId="534" priority="231" stopIfTrue="1">
      <formula>OR(($A46="Samstag"),($A46="Sonntag"))</formula>
    </cfRule>
  </conditionalFormatting>
  <conditionalFormatting sqref="F22:H52">
    <cfRule type="expression" dxfId="533" priority="228" stopIfTrue="1">
      <formula>OR(($A22="Samstag"),($A22="Sonntag"))</formula>
    </cfRule>
  </conditionalFormatting>
  <conditionalFormatting sqref="F22:H52">
    <cfRule type="expression" dxfId="532" priority="227" stopIfTrue="1">
      <formula>OR(($A22="Samstag"),($A22="Sonntag"))</formula>
    </cfRule>
  </conditionalFormatting>
  <conditionalFormatting sqref="G23">
    <cfRule type="expression" dxfId="531" priority="226" stopIfTrue="1">
      <formula>OR(($A23="Samstag"),($A23="Sonntag"))</formula>
    </cfRule>
  </conditionalFormatting>
  <conditionalFormatting sqref="G23">
    <cfRule type="expression" dxfId="530" priority="225" stopIfTrue="1">
      <formula>OR(($A23="Samstag"),($A23="Sonntag"))</formula>
    </cfRule>
  </conditionalFormatting>
  <conditionalFormatting sqref="F31:H31">
    <cfRule type="expression" dxfId="529" priority="224" stopIfTrue="1">
      <formula>OR(($A31="Samstag"),($A31="Sonntag"))</formula>
    </cfRule>
  </conditionalFormatting>
  <conditionalFormatting sqref="F31:H31">
    <cfRule type="expression" dxfId="528" priority="223" stopIfTrue="1">
      <formula>OR(($A31="Samstag"),($A31="Sonntag"))</formula>
    </cfRule>
  </conditionalFormatting>
  <conditionalFormatting sqref="F38:H38">
    <cfRule type="expression" dxfId="527" priority="222" stopIfTrue="1">
      <formula>OR(($A38="Samstag"),($A38="Sonntag"))</formula>
    </cfRule>
  </conditionalFormatting>
  <conditionalFormatting sqref="F38:H38">
    <cfRule type="expression" dxfId="526" priority="221" stopIfTrue="1">
      <formula>OR(($A38="Samstag"),($A38="Sonntag"))</formula>
    </cfRule>
  </conditionalFormatting>
  <conditionalFormatting sqref="F45:H45">
    <cfRule type="expression" dxfId="525" priority="220" stopIfTrue="1">
      <formula>OR(($A45="Samstag"),($A45="Sonntag"))</formula>
    </cfRule>
  </conditionalFormatting>
  <conditionalFormatting sqref="F45:H45">
    <cfRule type="expression" dxfId="524" priority="219" stopIfTrue="1">
      <formula>OR(($A45="Samstag"),($A45="Sonntag"))</formula>
    </cfRule>
  </conditionalFormatting>
  <conditionalFormatting sqref="G26:G30">
    <cfRule type="expression" dxfId="523" priority="218" stopIfTrue="1">
      <formula>OR(($A26="Samstag"),($A26="Sonntag"))</formula>
    </cfRule>
  </conditionalFormatting>
  <conditionalFormatting sqref="G26:G30">
    <cfRule type="expression" dxfId="522" priority="217" stopIfTrue="1">
      <formula>OR(($A26="Samstag"),($A26="Sonntag"))</formula>
    </cfRule>
  </conditionalFormatting>
  <conditionalFormatting sqref="G33:G37">
    <cfRule type="expression" dxfId="521" priority="216" stopIfTrue="1">
      <formula>OR(($A33="Samstag"),($A33="Sonntag"))</formula>
    </cfRule>
  </conditionalFormatting>
  <conditionalFormatting sqref="G33:G37">
    <cfRule type="expression" dxfId="520" priority="215" stopIfTrue="1">
      <formula>OR(($A33="Samstag"),($A33="Sonntag"))</formula>
    </cfRule>
  </conditionalFormatting>
  <conditionalFormatting sqref="G40:G44">
    <cfRule type="expression" dxfId="519" priority="214" stopIfTrue="1">
      <formula>OR(($A40="Samstag"),($A40="Sonntag"))</formula>
    </cfRule>
  </conditionalFormatting>
  <conditionalFormatting sqref="G40:G44">
    <cfRule type="expression" dxfId="518" priority="213" stopIfTrue="1">
      <formula>OR(($A40="Samstag"),($A40="Sonntag"))</formula>
    </cfRule>
  </conditionalFormatting>
  <conditionalFormatting sqref="G47:G51">
    <cfRule type="expression" dxfId="517" priority="212" stopIfTrue="1">
      <formula>OR(($A47="Samstag"),($A47="Sonntag"))</formula>
    </cfRule>
  </conditionalFormatting>
  <conditionalFormatting sqref="G47:G51">
    <cfRule type="expression" dxfId="516" priority="211" stopIfTrue="1">
      <formula>OR(($A47="Samstag"),($A47="Sonntag"))</formula>
    </cfRule>
  </conditionalFormatting>
  <conditionalFormatting sqref="F23:H23">
    <cfRule type="expression" dxfId="515" priority="210" stopIfTrue="1">
      <formula>OR(($A23="Samstag"),($A23="Sonntag"))</formula>
    </cfRule>
  </conditionalFormatting>
  <conditionalFormatting sqref="F23:H23">
    <cfRule type="expression" dxfId="514" priority="209" stopIfTrue="1">
      <formula>OR(($A23="Samstag"),($A23="Sonntag"))</formula>
    </cfRule>
  </conditionalFormatting>
  <conditionalFormatting sqref="F26:H30">
    <cfRule type="expression" dxfId="513" priority="208" stopIfTrue="1">
      <formula>OR(($A26="Samstag"),($A26="Sonntag"))</formula>
    </cfRule>
  </conditionalFormatting>
  <conditionalFormatting sqref="F26:H30">
    <cfRule type="expression" dxfId="512" priority="207" stopIfTrue="1">
      <formula>OR(($A26="Samstag"),($A26="Sonntag"))</formula>
    </cfRule>
  </conditionalFormatting>
  <conditionalFormatting sqref="F33:H37">
    <cfRule type="expression" dxfId="511" priority="206" stopIfTrue="1">
      <formula>OR(($A33="Samstag"),($A33="Sonntag"))</formula>
    </cfRule>
  </conditionalFormatting>
  <conditionalFormatting sqref="F33:H37">
    <cfRule type="expression" dxfId="510" priority="205" stopIfTrue="1">
      <formula>OR(($A33="Samstag"),($A33="Sonntag"))</formula>
    </cfRule>
  </conditionalFormatting>
  <conditionalFormatting sqref="F40:H44">
    <cfRule type="expression" dxfId="509" priority="204" stopIfTrue="1">
      <formula>OR(($A40="Samstag"),($A40="Sonntag"))</formula>
    </cfRule>
  </conditionalFormatting>
  <conditionalFormatting sqref="F40:H44">
    <cfRule type="expression" dxfId="508" priority="203" stopIfTrue="1">
      <formula>OR(($A40="Samstag"),($A40="Sonntag"))</formula>
    </cfRule>
  </conditionalFormatting>
  <conditionalFormatting sqref="H40:H44">
    <cfRule type="expression" dxfId="507" priority="194" stopIfTrue="1">
      <formula>OR(($A40="Samstag"),($A40="Sonntag"))</formula>
    </cfRule>
  </conditionalFormatting>
  <conditionalFormatting sqref="H40:H44">
    <cfRule type="expression" dxfId="506" priority="193" stopIfTrue="1">
      <formula>OR(($A40="Samstag"),($A40="Sonntag"))</formula>
    </cfRule>
  </conditionalFormatting>
  <conditionalFormatting sqref="F47:H51">
    <cfRule type="expression" dxfId="505" priority="202" stopIfTrue="1">
      <formula>OR(($A47="Samstag"),($A47="Sonntag"))</formula>
    </cfRule>
  </conditionalFormatting>
  <conditionalFormatting sqref="F47:H51">
    <cfRule type="expression" dxfId="504" priority="201" stopIfTrue="1">
      <formula>OR(($A47="Samstag"),($A47="Sonntag"))</formula>
    </cfRule>
  </conditionalFormatting>
  <conditionalFormatting sqref="H23">
    <cfRule type="expression" dxfId="503" priority="200" stopIfTrue="1">
      <formula>OR(($A23="Samstag"),($A23="Sonntag"))</formula>
    </cfRule>
  </conditionalFormatting>
  <conditionalFormatting sqref="H23">
    <cfRule type="expression" dxfId="502" priority="199" stopIfTrue="1">
      <formula>OR(($A23="Samstag"),($A23="Sonntag"))</formula>
    </cfRule>
  </conditionalFormatting>
  <conditionalFormatting sqref="H26:H30">
    <cfRule type="expression" dxfId="501" priority="198" stopIfTrue="1">
      <formula>OR(($A26="Samstag"),($A26="Sonntag"))</formula>
    </cfRule>
  </conditionalFormatting>
  <conditionalFormatting sqref="H26:H30">
    <cfRule type="expression" dxfId="500" priority="197" stopIfTrue="1">
      <formula>OR(($A26="Samstag"),($A26="Sonntag"))</formula>
    </cfRule>
  </conditionalFormatting>
  <conditionalFormatting sqref="H33:H37">
    <cfRule type="expression" dxfId="499" priority="196" stopIfTrue="1">
      <formula>OR(($A33="Samstag"),($A33="Sonntag"))</formula>
    </cfRule>
  </conditionalFormatting>
  <conditionalFormatting sqref="H33:H37">
    <cfRule type="expression" dxfId="498" priority="195" stopIfTrue="1">
      <formula>OR(($A33="Samstag"),($A33="Sonntag"))</formula>
    </cfRule>
  </conditionalFormatting>
  <conditionalFormatting sqref="H47:H51">
    <cfRule type="expression" dxfId="497" priority="192" stopIfTrue="1">
      <formula>OR(($A47="Samstag"),($A47="Sonntag"))</formula>
    </cfRule>
  </conditionalFormatting>
  <conditionalFormatting sqref="H47:H51">
    <cfRule type="expression" dxfId="496" priority="191" stopIfTrue="1">
      <formula>OR(($A47="Samstag"),($A47="Sonntag"))</formula>
    </cfRule>
  </conditionalFormatting>
  <conditionalFormatting sqref="I22:I52">
    <cfRule type="expression" dxfId="495" priority="176" stopIfTrue="1">
      <formula>OR(($A22="Samstag"),($A22="Sonntag"))</formula>
    </cfRule>
  </conditionalFormatting>
  <conditionalFormatting sqref="I22:I52">
    <cfRule type="expression" dxfId="494" priority="175" stopIfTrue="1">
      <formula>OR(($A22="Samstag"),($A22="Sonntag"))</formula>
    </cfRule>
  </conditionalFormatting>
  <conditionalFormatting sqref="N13 N17">
    <cfRule type="cellIs" dxfId="493" priority="125" stopIfTrue="1" operator="equal">
      <formula>0</formula>
    </cfRule>
  </conditionalFormatting>
  <conditionalFormatting sqref="N13">
    <cfRule type="cellIs" dxfId="492" priority="245" stopIfTrue="1" operator="equal">
      <formula>$F$12</formula>
    </cfRule>
    <cfRule type="cellIs" dxfId="491" priority="246" stopIfTrue="1" operator="notEqual">
      <formula>$F$12</formula>
    </cfRule>
  </conditionalFormatting>
  <conditionalFormatting sqref="N17">
    <cfRule type="cellIs" dxfId="490" priority="126" stopIfTrue="1" operator="notEqual">
      <formula>$F$16</formula>
    </cfRule>
    <cfRule type="cellIs" dxfId="489" priority="244" stopIfTrue="1" operator="equal">
      <formula>$F$16</formula>
    </cfRule>
  </conditionalFormatting>
  <conditionalFormatting sqref="I23:I52">
    <cfRule type="expression" dxfId="488" priority="122" stopIfTrue="1">
      <formula>OR(($A23="Samstag"),($A23="Sonntag"))</formula>
    </cfRule>
  </conditionalFormatting>
  <conditionalFormatting sqref="I23:I52">
    <cfRule type="expression" dxfId="487" priority="121" stopIfTrue="1">
      <formula>OR(($A23="Samstag"),($A23="Sonntag"))</formula>
    </cfRule>
  </conditionalFormatting>
  <conditionalFormatting sqref="K55:N55">
    <cfRule type="expression" dxfId="486" priority="120" stopIfTrue="1">
      <formula>OR(($A55="Samstag"),($A55="Sonntag"))</formula>
    </cfRule>
  </conditionalFormatting>
  <conditionalFormatting sqref="G32">
    <cfRule type="expression" dxfId="485" priority="118" stopIfTrue="1">
      <formula>OR(($A32="Samstag"),($A32="Sonntag"))</formula>
    </cfRule>
  </conditionalFormatting>
  <conditionalFormatting sqref="G32">
    <cfRule type="expression" dxfId="484" priority="117" stopIfTrue="1">
      <formula>OR(($A32="Samstag"),($A32="Sonntag"))</formula>
    </cfRule>
  </conditionalFormatting>
  <conditionalFormatting sqref="G52">
    <cfRule type="expression" dxfId="483" priority="106" stopIfTrue="1">
      <formula>OR(($A52="Samstag"),($A52="Sonntag"))</formula>
    </cfRule>
  </conditionalFormatting>
  <conditionalFormatting sqref="G52">
    <cfRule type="expression" dxfId="482" priority="105" stopIfTrue="1">
      <formula>OR(($A52="Samstag"),($A52="Sonntag"))</formula>
    </cfRule>
  </conditionalFormatting>
  <conditionalFormatting sqref="G46">
    <cfRule type="expression" dxfId="481" priority="109" stopIfTrue="1">
      <formula>OR(($A46="Samstag"),($A46="Sonntag"))</formula>
    </cfRule>
  </conditionalFormatting>
  <conditionalFormatting sqref="G32">
    <cfRule type="expression" dxfId="480" priority="113" stopIfTrue="1">
      <formula>OR(($A32="Samstag"),($A32="Sonntag"))</formula>
    </cfRule>
  </conditionalFormatting>
  <conditionalFormatting sqref="G24:G25">
    <cfRule type="expression" dxfId="479" priority="116" stopIfTrue="1">
      <formula>OR(($A24="Samstag"),($A24="Sonntag"))</formula>
    </cfRule>
  </conditionalFormatting>
  <conditionalFormatting sqref="G24">
    <cfRule type="expression" dxfId="478" priority="115" stopIfTrue="1">
      <formula>OR(($A24="Samstag"),($A24="Sonntag"))</formula>
    </cfRule>
  </conditionalFormatting>
  <conditionalFormatting sqref="G25">
    <cfRule type="expression" dxfId="477" priority="114" stopIfTrue="1">
      <formula>OR(($A25="Samstag"),($A25="Sonntag"))</formula>
    </cfRule>
  </conditionalFormatting>
  <conditionalFormatting sqref="G39">
    <cfRule type="expression" dxfId="476" priority="111" stopIfTrue="1">
      <formula>OR(($A39="Samstag"),($A39="Sonntag"))</formula>
    </cfRule>
  </conditionalFormatting>
  <conditionalFormatting sqref="G39">
    <cfRule type="expression" dxfId="475" priority="112" stopIfTrue="1">
      <formula>OR(($A39="Samstag"),($A39="Sonntag"))</formula>
    </cfRule>
  </conditionalFormatting>
  <conditionalFormatting sqref="G39">
    <cfRule type="expression" dxfId="474" priority="110" stopIfTrue="1">
      <formula>OR(($A39="Samstag"),($A39="Sonntag"))</formula>
    </cfRule>
  </conditionalFormatting>
  <conditionalFormatting sqref="G46">
    <cfRule type="expression" dxfId="473" priority="108" stopIfTrue="1">
      <formula>OR(($A46="Samstag"),($A46="Sonntag"))</formula>
    </cfRule>
  </conditionalFormatting>
  <conditionalFormatting sqref="G46">
    <cfRule type="expression" dxfId="472" priority="107" stopIfTrue="1">
      <formula>OR(($A46="Samstag"),($A46="Sonntag"))</formula>
    </cfRule>
  </conditionalFormatting>
  <conditionalFormatting sqref="F22:H52">
    <cfRule type="expression" dxfId="471" priority="104" stopIfTrue="1">
      <formula>OR(($A22="Samstag"),($A22="Sonntag"))</formula>
    </cfRule>
  </conditionalFormatting>
  <conditionalFormatting sqref="F22:H52">
    <cfRule type="expression" dxfId="470" priority="103" stopIfTrue="1">
      <formula>OR(($A22="Samstag"),($A22="Sonntag"))</formula>
    </cfRule>
  </conditionalFormatting>
  <conditionalFormatting sqref="G31">
    <cfRule type="expression" dxfId="469" priority="102" stopIfTrue="1">
      <formula>OR(($A31="Samstag"),($A31="Sonntag"))</formula>
    </cfRule>
  </conditionalFormatting>
  <conditionalFormatting sqref="G31">
    <cfRule type="expression" dxfId="468" priority="101" stopIfTrue="1">
      <formula>OR(($A31="Samstag"),($A31="Sonntag"))</formula>
    </cfRule>
  </conditionalFormatting>
  <conditionalFormatting sqref="G38">
    <cfRule type="expression" dxfId="467" priority="100" stopIfTrue="1">
      <formula>OR(($A38="Samstag"),($A38="Sonntag"))</formula>
    </cfRule>
  </conditionalFormatting>
  <conditionalFormatting sqref="G38">
    <cfRule type="expression" dxfId="466" priority="99" stopIfTrue="1">
      <formula>OR(($A38="Samstag"),($A38="Sonntag"))</formula>
    </cfRule>
  </conditionalFormatting>
  <conditionalFormatting sqref="G45">
    <cfRule type="expression" dxfId="465" priority="98" stopIfTrue="1">
      <formula>OR(($A45="Samstag"),($A45="Sonntag"))</formula>
    </cfRule>
  </conditionalFormatting>
  <conditionalFormatting sqref="G45">
    <cfRule type="expression" dxfId="464" priority="97" stopIfTrue="1">
      <formula>OR(($A45="Samstag"),($A45="Sonntag"))</formula>
    </cfRule>
  </conditionalFormatting>
  <conditionalFormatting sqref="G40:G44">
    <cfRule type="expression" dxfId="463" priority="90" stopIfTrue="1">
      <formula>OR(($A40="Samstag"),($A40="Sonntag"))</formula>
    </cfRule>
  </conditionalFormatting>
  <conditionalFormatting sqref="G40:G44">
    <cfRule type="expression" dxfId="462" priority="89" stopIfTrue="1">
      <formula>OR(($A40="Samstag"),($A40="Sonntag"))</formula>
    </cfRule>
  </conditionalFormatting>
  <conditionalFormatting sqref="G23">
    <cfRule type="expression" dxfId="461" priority="96" stopIfTrue="1">
      <formula>OR(($A23="Samstag"),($A23="Sonntag"))</formula>
    </cfRule>
  </conditionalFormatting>
  <conditionalFormatting sqref="G23">
    <cfRule type="expression" dxfId="460" priority="95" stopIfTrue="1">
      <formula>OR(($A23="Samstag"),($A23="Sonntag"))</formula>
    </cfRule>
  </conditionalFormatting>
  <conditionalFormatting sqref="G26:G30">
    <cfRule type="expression" dxfId="459" priority="94" stopIfTrue="1">
      <formula>OR(($A26="Samstag"),($A26="Sonntag"))</formula>
    </cfRule>
  </conditionalFormatting>
  <conditionalFormatting sqref="G26:G30">
    <cfRule type="expression" dxfId="458" priority="93" stopIfTrue="1">
      <formula>OR(($A26="Samstag"),($A26="Sonntag"))</formula>
    </cfRule>
  </conditionalFormatting>
  <conditionalFormatting sqref="G33:G37">
    <cfRule type="expression" dxfId="457" priority="92" stopIfTrue="1">
      <formula>OR(($A33="Samstag"),($A33="Sonntag"))</formula>
    </cfRule>
  </conditionalFormatting>
  <conditionalFormatting sqref="G33:G37">
    <cfRule type="expression" dxfId="456" priority="91" stopIfTrue="1">
      <formula>OR(($A33="Samstag"),($A33="Sonntag"))</formula>
    </cfRule>
  </conditionalFormatting>
  <conditionalFormatting sqref="G47:G51">
    <cfRule type="expression" dxfId="455" priority="88" stopIfTrue="1">
      <formula>OR(($A47="Samstag"),($A47="Sonntag"))</formula>
    </cfRule>
  </conditionalFormatting>
  <conditionalFormatting sqref="G47:G51">
    <cfRule type="expression" dxfId="454" priority="87" stopIfTrue="1">
      <formula>OR(($A47="Samstag"),($A47="Sonntag"))</formula>
    </cfRule>
  </conditionalFormatting>
  <conditionalFormatting sqref="H32">
    <cfRule type="expression" dxfId="453" priority="86" stopIfTrue="1">
      <formula>OR(($A32="Samstag"),($A32="Sonntag"))</formula>
    </cfRule>
  </conditionalFormatting>
  <conditionalFormatting sqref="H32">
    <cfRule type="expression" dxfId="452" priority="85" stopIfTrue="1">
      <formula>OR(($A32="Samstag"),($A32="Sonntag"))</formula>
    </cfRule>
  </conditionalFormatting>
  <conditionalFormatting sqref="H52">
    <cfRule type="expression" dxfId="451" priority="74" stopIfTrue="1">
      <formula>OR(($A52="Samstag"),($A52="Sonntag"))</formula>
    </cfRule>
  </conditionalFormatting>
  <conditionalFormatting sqref="H52">
    <cfRule type="expression" dxfId="450" priority="73" stopIfTrue="1">
      <formula>OR(($A52="Samstag"),($A52="Sonntag"))</formula>
    </cfRule>
  </conditionalFormatting>
  <conditionalFormatting sqref="H46">
    <cfRule type="expression" dxfId="449" priority="77" stopIfTrue="1">
      <formula>OR(($A46="Samstag"),($A46="Sonntag"))</formula>
    </cfRule>
  </conditionalFormatting>
  <conditionalFormatting sqref="H32">
    <cfRule type="expression" dxfId="448" priority="81" stopIfTrue="1">
      <formula>OR(($A32="Samstag"),($A32="Sonntag"))</formula>
    </cfRule>
  </conditionalFormatting>
  <conditionalFormatting sqref="H24:H25">
    <cfRule type="expression" dxfId="447" priority="84" stopIfTrue="1">
      <formula>OR(($A24="Samstag"),($A24="Sonntag"))</formula>
    </cfRule>
  </conditionalFormatting>
  <conditionalFormatting sqref="H24">
    <cfRule type="expression" dxfId="446" priority="83" stopIfTrue="1">
      <formula>OR(($A24="Samstag"),($A24="Sonntag"))</formula>
    </cfRule>
  </conditionalFormatting>
  <conditionalFormatting sqref="H25">
    <cfRule type="expression" dxfId="445" priority="82" stopIfTrue="1">
      <formula>OR(($A25="Samstag"),($A25="Sonntag"))</formula>
    </cfRule>
  </conditionalFormatting>
  <conditionalFormatting sqref="H39">
    <cfRule type="expression" dxfId="444" priority="79" stopIfTrue="1">
      <formula>OR(($A39="Samstag"),($A39="Sonntag"))</formula>
    </cfRule>
  </conditionalFormatting>
  <conditionalFormatting sqref="H39">
    <cfRule type="expression" dxfId="443" priority="80" stopIfTrue="1">
      <formula>OR(($A39="Samstag"),($A39="Sonntag"))</formula>
    </cfRule>
  </conditionalFormatting>
  <conditionalFormatting sqref="H39">
    <cfRule type="expression" dxfId="442" priority="78" stopIfTrue="1">
      <formula>OR(($A39="Samstag"),($A39="Sonntag"))</formula>
    </cfRule>
  </conditionalFormatting>
  <conditionalFormatting sqref="H46">
    <cfRule type="expression" dxfId="441" priority="76" stopIfTrue="1">
      <formula>OR(($A46="Samstag"),($A46="Sonntag"))</formula>
    </cfRule>
  </conditionalFormatting>
  <conditionalFormatting sqref="H46">
    <cfRule type="expression" dxfId="440" priority="75" stopIfTrue="1">
      <formula>OR(($A46="Samstag"),($A46="Sonntag"))</formula>
    </cfRule>
  </conditionalFormatting>
  <conditionalFormatting sqref="H22:H52">
    <cfRule type="expression" dxfId="439" priority="72" stopIfTrue="1">
      <formula>OR(($A22="Samstag"),($A22="Sonntag"))</formula>
    </cfRule>
  </conditionalFormatting>
  <conditionalFormatting sqref="H22:H52">
    <cfRule type="expression" dxfId="438" priority="71" stopIfTrue="1">
      <formula>OR(($A22="Samstag"),($A22="Sonntag"))</formula>
    </cfRule>
  </conditionalFormatting>
  <conditionalFormatting sqref="H31">
    <cfRule type="expression" dxfId="437" priority="70" stopIfTrue="1">
      <formula>OR(($A31="Samstag"),($A31="Sonntag"))</formula>
    </cfRule>
  </conditionalFormatting>
  <conditionalFormatting sqref="H31">
    <cfRule type="expression" dxfId="436" priority="69" stopIfTrue="1">
      <formula>OR(($A31="Samstag"),($A31="Sonntag"))</formula>
    </cfRule>
  </conditionalFormatting>
  <conditionalFormatting sqref="H38">
    <cfRule type="expression" dxfId="435" priority="68" stopIfTrue="1">
      <formula>OR(($A38="Samstag"),($A38="Sonntag"))</formula>
    </cfRule>
  </conditionalFormatting>
  <conditionalFormatting sqref="H38">
    <cfRule type="expression" dxfId="434" priority="67" stopIfTrue="1">
      <formula>OR(($A38="Samstag"),($A38="Sonntag"))</formula>
    </cfRule>
  </conditionalFormatting>
  <conditionalFormatting sqref="H45">
    <cfRule type="expression" dxfId="433" priority="66" stopIfTrue="1">
      <formula>OR(($A45="Samstag"),($A45="Sonntag"))</formula>
    </cfRule>
  </conditionalFormatting>
  <conditionalFormatting sqref="H45">
    <cfRule type="expression" dxfId="432" priority="65" stopIfTrue="1">
      <formula>OR(($A45="Samstag"),($A45="Sonntag"))</formula>
    </cfRule>
  </conditionalFormatting>
  <conditionalFormatting sqref="H40:H44">
    <cfRule type="expression" dxfId="431" priority="58" stopIfTrue="1">
      <formula>OR(($A40="Samstag"),($A40="Sonntag"))</formula>
    </cfRule>
  </conditionalFormatting>
  <conditionalFormatting sqref="H40:H44">
    <cfRule type="expression" dxfId="430" priority="57" stopIfTrue="1">
      <formula>OR(($A40="Samstag"),($A40="Sonntag"))</formula>
    </cfRule>
  </conditionalFormatting>
  <conditionalFormatting sqref="H23">
    <cfRule type="expression" dxfId="429" priority="64" stopIfTrue="1">
      <formula>OR(($A23="Samstag"),($A23="Sonntag"))</formula>
    </cfRule>
  </conditionalFormatting>
  <conditionalFormatting sqref="H23">
    <cfRule type="expression" dxfId="428" priority="63" stopIfTrue="1">
      <formula>OR(($A23="Samstag"),($A23="Sonntag"))</formula>
    </cfRule>
  </conditionalFormatting>
  <conditionalFormatting sqref="H26:H30">
    <cfRule type="expression" dxfId="427" priority="62" stopIfTrue="1">
      <formula>OR(($A26="Samstag"),($A26="Sonntag"))</formula>
    </cfRule>
  </conditionalFormatting>
  <conditionalFormatting sqref="H26:H30">
    <cfRule type="expression" dxfId="426" priority="61" stopIfTrue="1">
      <formula>OR(($A26="Samstag"),($A26="Sonntag"))</formula>
    </cfRule>
  </conditionalFormatting>
  <conditionalFormatting sqref="H33:H37">
    <cfRule type="expression" dxfId="425" priority="60" stopIfTrue="1">
      <formula>OR(($A33="Samstag"),($A33="Sonntag"))</formula>
    </cfRule>
  </conditionalFormatting>
  <conditionalFormatting sqref="H33:H37">
    <cfRule type="expression" dxfId="424" priority="59" stopIfTrue="1">
      <formula>OR(($A33="Samstag"),($A33="Sonntag"))</formula>
    </cfRule>
  </conditionalFormatting>
  <conditionalFormatting sqref="H47:H51">
    <cfRule type="expression" dxfId="423" priority="56" stopIfTrue="1">
      <formula>OR(($A47="Samstag"),($A47="Sonntag"))</formula>
    </cfRule>
  </conditionalFormatting>
  <conditionalFormatting sqref="H47:H51">
    <cfRule type="expression" dxfId="422" priority="55" stopIfTrue="1">
      <formula>OR(($A47="Samstag"),($A47="Sonntag"))</formula>
    </cfRule>
  </conditionalFormatting>
  <conditionalFormatting sqref="F23:H52">
    <cfRule type="expression" dxfId="421" priority="54" stopIfTrue="1">
      <formula>OR(($A23="Samstag"),($A23="Sonntag"))</formula>
    </cfRule>
  </conditionalFormatting>
  <conditionalFormatting sqref="F23:H52">
    <cfRule type="expression" dxfId="420" priority="53" stopIfTrue="1">
      <formula>OR(($A23="Samstag"),($A23="Sonntag"))</formula>
    </cfRule>
  </conditionalFormatting>
  <conditionalFormatting sqref="I22:I52">
    <cfRule type="expression" dxfId="419" priority="38">
      <formula>(I22&gt;10)</formula>
    </cfRule>
    <cfRule type="expression" dxfId="418" priority="49" stopIfTrue="1">
      <formula>OR(($A22="Samstag"),($A22="Sonntag"))</formula>
    </cfRule>
    <cfRule type="expression" dxfId="417" priority="50" stopIfTrue="1">
      <formula>OR(($A22="Samstag"),($A22="Sonntag"))</formula>
    </cfRule>
    <cfRule type="expression" dxfId="416" priority="52" stopIfTrue="1">
      <formula>OR(($A22="Samstag"),($A22="Sonntag"))</formula>
    </cfRule>
  </conditionalFormatting>
  <conditionalFormatting sqref="I22:I52">
    <cfRule type="expression" dxfId="415" priority="51" stopIfTrue="1">
      <formula>OR(($A22="Samstag"),($A22="Sonntag"))</formula>
    </cfRule>
  </conditionalFormatting>
  <conditionalFormatting sqref="K56:P59">
    <cfRule type="expression" dxfId="414" priority="48">
      <formula>OR(ISERROR($K$55),($K$55&gt;""))</formula>
    </cfRule>
  </conditionalFormatting>
  <conditionalFormatting sqref="L44:L52">
    <cfRule type="expression" dxfId="413" priority="44" stopIfTrue="1">
      <formula>OR(($A44="Samstag"),($A44="Sonntag"))</formula>
    </cfRule>
  </conditionalFormatting>
  <conditionalFormatting sqref="L44:L52">
    <cfRule type="expression" dxfId="412" priority="47" stopIfTrue="1">
      <formula>OR(($A44="Samstag"),($A44="Sonntag"))</formula>
    </cfRule>
  </conditionalFormatting>
  <conditionalFormatting sqref="L44:L52">
    <cfRule type="expression" dxfId="411" priority="46" stopIfTrue="1">
      <formula>OR(($A44="Samstag"),($A44="Sonntag"))</formula>
    </cfRule>
  </conditionalFormatting>
  <conditionalFormatting sqref="L44:L52">
    <cfRule type="expression" dxfId="410" priority="45" stopIfTrue="1">
      <formula>OR(($A44="Samstag"),($A44="Sonntag"))</formula>
    </cfRule>
  </conditionalFormatting>
  <conditionalFormatting sqref="L22">
    <cfRule type="expression" dxfId="409" priority="43" stopIfTrue="1">
      <formula>OR(($A22="Samstag"),($A22="Sonntag"),($AA22=TRUE()))</formula>
    </cfRule>
  </conditionalFormatting>
  <conditionalFormatting sqref="L22">
    <cfRule type="expression" dxfId="408" priority="42" stopIfTrue="1">
      <formula>OR(($A22="Samstag"),($A22="Sonntag"))</formula>
    </cfRule>
  </conditionalFormatting>
  <conditionalFormatting sqref="L40:L43">
    <cfRule type="expression" dxfId="407" priority="41" stopIfTrue="1">
      <formula>OR(($A40="Samstag"),($A40="Sonntag"),($AA40=TRUE()))</formula>
    </cfRule>
  </conditionalFormatting>
  <conditionalFormatting sqref="L40:L43">
    <cfRule type="expression" dxfId="406" priority="40" stopIfTrue="1">
      <formula>OR(($A40="Samstag"),($A40="Sonntag"))</formula>
    </cfRule>
  </conditionalFormatting>
  <conditionalFormatting sqref="G22:G52">
    <cfRule type="expression" dxfId="405" priority="39">
      <formula>OR(AND(I22&gt;6,G22&lt;TIME(0,30,0)),AND(I22&gt;9,G22&lt;TIME(0,45,0)))</formula>
    </cfRule>
  </conditionalFormatting>
  <conditionalFormatting sqref="J22:K52">
    <cfRule type="expression" dxfId="404" priority="37" stopIfTrue="1">
      <formula>OR(($A22="Samstag"),($A22="Sonntag"),($AA22=TRUE()))</formula>
    </cfRule>
  </conditionalFormatting>
  <conditionalFormatting sqref="J22:J52">
    <cfRule type="expression" dxfId="403" priority="36" stopIfTrue="1">
      <formula>OR(($A22="Samstag"),($A22="Sonntag"))</formula>
    </cfRule>
  </conditionalFormatting>
  <conditionalFormatting sqref="J22:J52">
    <cfRule type="expression" dxfId="402" priority="35" stopIfTrue="1">
      <formula>OR(($A22="Samstag"),($A22="Sonntag"))</formula>
    </cfRule>
  </conditionalFormatting>
  <conditionalFormatting sqref="K32">
    <cfRule type="expression" dxfId="401" priority="34" stopIfTrue="1">
      <formula>OR(($A32="Samstag"),($A32="Sonntag"))</formula>
    </cfRule>
  </conditionalFormatting>
  <conditionalFormatting sqref="K32">
    <cfRule type="expression" dxfId="400" priority="33" stopIfTrue="1">
      <formula>OR(($A32="Samstag"),($A32="Sonntag"))</formula>
    </cfRule>
  </conditionalFormatting>
  <conditionalFormatting sqref="K52">
    <cfRule type="expression" dxfId="399" priority="22" stopIfTrue="1">
      <formula>OR(($A52="Samstag"),($A52="Sonntag"))</formula>
    </cfRule>
  </conditionalFormatting>
  <conditionalFormatting sqref="K52">
    <cfRule type="expression" dxfId="398" priority="21" stopIfTrue="1">
      <formula>OR(($A52="Samstag"),($A52="Sonntag"))</formula>
    </cfRule>
  </conditionalFormatting>
  <conditionalFormatting sqref="K46">
    <cfRule type="expression" dxfId="397" priority="25" stopIfTrue="1">
      <formula>OR(($A46="Samstag"),($A46="Sonntag"))</formula>
    </cfRule>
  </conditionalFormatting>
  <conditionalFormatting sqref="K32">
    <cfRule type="expression" dxfId="396" priority="29" stopIfTrue="1">
      <formula>OR(($A32="Samstag"),($A32="Sonntag"))</formula>
    </cfRule>
  </conditionalFormatting>
  <conditionalFormatting sqref="K24:K25">
    <cfRule type="expression" dxfId="395" priority="32" stopIfTrue="1">
      <formula>OR(($A24="Samstag"),($A24="Sonntag"))</formula>
    </cfRule>
  </conditionalFormatting>
  <conditionalFormatting sqref="K24">
    <cfRule type="expression" dxfId="394" priority="31" stopIfTrue="1">
      <formula>OR(($A24="Samstag"),($A24="Sonntag"))</formula>
    </cfRule>
  </conditionalFormatting>
  <conditionalFormatting sqref="K25">
    <cfRule type="expression" dxfId="393" priority="30" stopIfTrue="1">
      <formula>OR(($A25="Samstag"),($A25="Sonntag"))</formula>
    </cfRule>
  </conditionalFormatting>
  <conditionalFormatting sqref="K39">
    <cfRule type="expression" dxfId="392" priority="27" stopIfTrue="1">
      <formula>OR(($A39="Samstag"),($A39="Sonntag"))</formula>
    </cfRule>
  </conditionalFormatting>
  <conditionalFormatting sqref="K39">
    <cfRule type="expression" dxfId="391" priority="28" stopIfTrue="1">
      <formula>OR(($A39="Samstag"),($A39="Sonntag"))</formula>
    </cfRule>
  </conditionalFormatting>
  <conditionalFormatting sqref="K39">
    <cfRule type="expression" dxfId="390" priority="26" stopIfTrue="1">
      <formula>OR(($A39="Samstag"),($A39="Sonntag"))</formula>
    </cfRule>
  </conditionalFormatting>
  <conditionalFormatting sqref="K46">
    <cfRule type="expression" dxfId="389" priority="24" stopIfTrue="1">
      <formula>OR(($A46="Samstag"),($A46="Sonntag"))</formula>
    </cfRule>
  </conditionalFormatting>
  <conditionalFormatting sqref="K46">
    <cfRule type="expression" dxfId="388" priority="23" stopIfTrue="1">
      <formula>OR(($A46="Samstag"),($A46="Sonntag"))</formula>
    </cfRule>
  </conditionalFormatting>
  <conditionalFormatting sqref="K22:K52">
    <cfRule type="expression" dxfId="387" priority="20" stopIfTrue="1">
      <formula>OR(($A22="Samstag"),($A22="Sonntag"))</formula>
    </cfRule>
  </conditionalFormatting>
  <conditionalFormatting sqref="K22:K52">
    <cfRule type="expression" dxfId="386" priority="19" stopIfTrue="1">
      <formula>OR(($A22="Samstag"),($A22="Sonntag"))</formula>
    </cfRule>
  </conditionalFormatting>
  <conditionalFormatting sqref="K31">
    <cfRule type="expression" dxfId="385" priority="18" stopIfTrue="1">
      <formula>OR(($A31="Samstag"),($A31="Sonntag"))</formula>
    </cfRule>
  </conditionalFormatting>
  <conditionalFormatting sqref="K31">
    <cfRule type="expression" dxfId="384" priority="17" stopIfTrue="1">
      <formula>OR(($A31="Samstag"),($A31="Sonntag"))</formula>
    </cfRule>
  </conditionalFormatting>
  <conditionalFormatting sqref="K38">
    <cfRule type="expression" dxfId="383" priority="16" stopIfTrue="1">
      <formula>OR(($A38="Samstag"),($A38="Sonntag"))</formula>
    </cfRule>
  </conditionalFormatting>
  <conditionalFormatting sqref="K38">
    <cfRule type="expression" dxfId="382" priority="15" stopIfTrue="1">
      <formula>OR(($A38="Samstag"),($A38="Sonntag"))</formula>
    </cfRule>
  </conditionalFormatting>
  <conditionalFormatting sqref="K45">
    <cfRule type="expression" dxfId="381" priority="14" stopIfTrue="1">
      <formula>OR(($A45="Samstag"),($A45="Sonntag"))</formula>
    </cfRule>
  </conditionalFormatting>
  <conditionalFormatting sqref="K45">
    <cfRule type="expression" dxfId="380" priority="13" stopIfTrue="1">
      <formula>OR(($A45="Samstag"),($A45="Sonntag"))</formula>
    </cfRule>
  </conditionalFormatting>
  <conditionalFormatting sqref="K40:K44">
    <cfRule type="expression" dxfId="379" priority="6" stopIfTrue="1">
      <formula>OR(($A40="Samstag"),($A40="Sonntag"))</formula>
    </cfRule>
  </conditionalFormatting>
  <conditionalFormatting sqref="K40:K44">
    <cfRule type="expression" dxfId="378" priority="5" stopIfTrue="1">
      <formula>OR(($A40="Samstag"),($A40="Sonntag"))</formula>
    </cfRule>
  </conditionalFormatting>
  <conditionalFormatting sqref="K23">
    <cfRule type="expression" dxfId="377" priority="12" stopIfTrue="1">
      <formula>OR(($A23="Samstag"),($A23="Sonntag"))</formula>
    </cfRule>
  </conditionalFormatting>
  <conditionalFormatting sqref="K23">
    <cfRule type="expression" dxfId="376" priority="11" stopIfTrue="1">
      <formula>OR(($A23="Samstag"),($A23="Sonntag"))</formula>
    </cfRule>
  </conditionalFormatting>
  <conditionalFormatting sqref="K26:K30">
    <cfRule type="expression" dxfId="375" priority="10" stopIfTrue="1">
      <formula>OR(($A26="Samstag"),($A26="Sonntag"))</formula>
    </cfRule>
  </conditionalFormatting>
  <conditionalFormatting sqref="K26:K30">
    <cfRule type="expression" dxfId="374" priority="9" stopIfTrue="1">
      <formula>OR(($A26="Samstag"),($A26="Sonntag"))</formula>
    </cfRule>
  </conditionalFormatting>
  <conditionalFormatting sqref="K33:K37">
    <cfRule type="expression" dxfId="373" priority="8" stopIfTrue="1">
      <formula>OR(($A33="Samstag"),($A33="Sonntag"))</formula>
    </cfRule>
  </conditionalFormatting>
  <conditionalFormatting sqref="K33:K37">
    <cfRule type="expression" dxfId="372" priority="7" stopIfTrue="1">
      <formula>OR(($A33="Samstag"),($A33="Sonntag"))</formula>
    </cfRule>
  </conditionalFormatting>
  <conditionalFormatting sqref="K47:K51">
    <cfRule type="expression" dxfId="371" priority="4" stopIfTrue="1">
      <formula>OR(($A47="Samstag"),($A47="Sonntag"))</formula>
    </cfRule>
  </conditionalFormatting>
  <conditionalFormatting sqref="K47:K51">
    <cfRule type="expression" dxfId="370" priority="3" stopIfTrue="1">
      <formula>OR(($A47="Samstag"),($A47="Sonntag"))</formula>
    </cfRule>
  </conditionalFormatting>
  <conditionalFormatting sqref="J22:J52">
    <cfRule type="expression" dxfId="369" priority="2" stopIfTrue="1">
      <formula>OR(($A22="Samstag"),($A22="Sonntag"))</formula>
    </cfRule>
  </conditionalFormatting>
  <conditionalFormatting sqref="J22:J52">
    <cfRule type="expression" dxfId="368" priority="1" stopIfTrue="1">
      <formula>OR(($A22="Samstag"),($A22="Sonntag"))</formula>
    </cfRule>
  </conditionalFormatting>
  <dataValidations count="8">
    <dataValidation type="custom" allowBlank="1" showInputMessage="1" showErrorMessage="1" errorTitle="Eingabefehler" error="Bitte geben Sie eine Uhrzeit ( hh:mm ) zwischen 0:00 und 23:59 ein. Bitte beachten Sie, dass eine Eingabe an Wochenenden sowie an Tagen mit dem Status &quot;bezahlt abwesend&quot; nicht möglich ist." sqref="F22:H52">
      <formula1>AND(ISNUMBER(F22),DAY($B22)&gt;0,NOT(AND($C22="BA",NOT($S$8))),NOT(AND(OR($A22="Sonntag",$A22="Samstag"),NOT($S$7))),F22&gt;=TIME(0,0,0),F22&lt;=TIME(23,59,59))</formula1>
    </dataValidation>
    <dataValidation type="list" showInputMessage="1" showErrorMessage="1" sqref="C22:C52">
      <formula1>Auswahlart</formula1>
    </dataValidation>
    <dataValidation type="list" allowBlank="1" showInputMessage="1" showErrorMessage="1" sqref="E17:F17">
      <formula1>$B$22:$B$52</formula1>
    </dataValidation>
    <dataValidation showInputMessage="1" showErrorMessage="1" sqref="G10:I10"/>
    <dataValidation type="decimal" allowBlank="1" showInputMessage="1" showErrorMessage="1" sqref="I16:M16 I12:M12">
      <formula1>$AA$35</formula1>
      <formula2>$AA$36</formula2>
    </dataValidation>
    <dataValidation type="decimal" allowBlank="1" showInputMessage="1" showErrorMessage="1" errorTitle="Eingabefehler" error="Bitte geben Sie eine positive Dezimalzahl ein." sqref="D22:D52">
      <formula1>0</formula1>
      <formula2>20</formula2>
    </dataValidation>
    <dataValidation type="decimal" allowBlank="1" showInputMessage="1" showErrorMessage="1" sqref="M7:O7">
      <formula1>-9999999</formula1>
      <formula2>9999999</formula2>
    </dataValidation>
    <dataValidation type="decimal" allowBlank="1" showInputMessage="1" showErrorMessage="1" sqref="F12 F16 I13:M13 I17:M17">
      <formula1>0</formula1>
      <formula2>45</formula2>
    </dataValidation>
  </dataValidations>
  <pageMargins left="0.43307086614173229" right="0.23622047244094491" top="0.89" bottom="0.54" header="0.4" footer="0.31496062992125984"/>
  <pageSetup paperSize="9" scale="65" orientation="portrait" r:id="rId1"/>
  <headerFooter differentFirst="1" alignWithMargins="0">
    <firstHeader>&amp;L&amp;G</firstHeader>
  </headerFooter>
  <drawing r:id="rId2"/>
  <legacyDrawing r:id="rId3"/>
  <legacyDrawingHF r:id="rId4"/>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
    <pageSetUpPr fitToPage="1"/>
  </sheetPr>
  <dimension ref="A1:IR80"/>
  <sheetViews>
    <sheetView showGridLines="0" showRowColHeaders="0" zoomScaleNormal="100" zoomScaleSheetLayoutView="55" workbookViewId="0">
      <selection activeCell="C28" sqref="C28"/>
    </sheetView>
  </sheetViews>
  <sheetFormatPr baseColWidth="10" defaultColWidth="6.25" defaultRowHeight="0" customHeight="1" zeroHeight="1"/>
  <cols>
    <col min="1" max="1" width="5" style="6" customWidth="1"/>
    <col min="2" max="2" width="11.25" style="57" customWidth="1"/>
    <col min="3" max="3" width="7.5" style="57" customWidth="1"/>
    <col min="4" max="8" width="7.75" style="57" customWidth="1"/>
    <col min="9" max="13" width="8.125" style="57" customWidth="1"/>
    <col min="14" max="14" width="7.5" style="57" customWidth="1"/>
    <col min="15" max="15" width="10" style="57" customWidth="1"/>
    <col min="16" max="16" width="7.5" style="24" customWidth="1"/>
    <col min="17" max="17" width="5" style="24" customWidth="1"/>
    <col min="18" max="18" width="10.125" style="6" customWidth="1"/>
    <col min="19" max="19" width="7.5" style="6" bestFit="1" customWidth="1"/>
    <col min="20" max="20" width="8.5" style="6" bestFit="1" customWidth="1"/>
    <col min="21" max="21" width="7.25" style="6" bestFit="1" customWidth="1"/>
    <col min="22" max="22" width="7.75" style="6" bestFit="1" customWidth="1"/>
    <col min="23" max="23" width="7.5" style="6" bestFit="1" customWidth="1"/>
    <col min="24" max="24" width="8.125" style="6" bestFit="1" customWidth="1"/>
    <col min="25" max="25" width="7.25" style="6" bestFit="1" customWidth="1"/>
    <col min="26" max="26" width="7.25" style="6" customWidth="1"/>
    <col min="27" max="27" width="10.5" style="68" customWidth="1"/>
    <col min="28" max="28" width="9.875" style="68" customWidth="1"/>
    <col min="29" max="29" width="11.125" style="6" customWidth="1"/>
    <col min="30" max="31" width="11.125" style="95" customWidth="1"/>
    <col min="32" max="34" width="6.25" style="96" customWidth="1"/>
    <col min="35" max="252" width="6.25" style="3" customWidth="1"/>
    <col min="253" max="16384" width="6.25" style="3"/>
  </cols>
  <sheetData>
    <row r="1" spans="1:34" ht="11.25" customHeight="1">
      <c r="A1" s="3"/>
      <c r="B1" s="92"/>
      <c r="C1" s="92"/>
      <c r="D1" s="92"/>
      <c r="E1" s="92"/>
      <c r="F1" s="92"/>
      <c r="G1" s="92"/>
      <c r="H1" s="92"/>
      <c r="I1" s="92"/>
      <c r="J1" s="92"/>
      <c r="K1" s="92"/>
      <c r="L1" s="92"/>
      <c r="M1" s="92"/>
      <c r="N1" s="92"/>
      <c r="O1" s="92"/>
      <c r="P1" s="8"/>
      <c r="Q1" s="154"/>
      <c r="R1" s="154"/>
      <c r="S1" s="69"/>
      <c r="T1" s="69"/>
      <c r="U1" s="69"/>
      <c r="V1" s="3"/>
      <c r="W1" s="3"/>
      <c r="X1" s="3"/>
      <c r="Y1" s="3"/>
      <c r="Z1" s="3"/>
      <c r="AA1" s="3"/>
      <c r="AB1" s="3"/>
      <c r="AC1" s="3"/>
      <c r="AD1" s="3"/>
      <c r="AE1" s="3"/>
      <c r="AF1" s="3"/>
      <c r="AG1" s="3"/>
      <c r="AH1" s="3"/>
    </row>
    <row r="2" spans="1:34" ht="18.75" customHeight="1">
      <c r="A2" s="3"/>
      <c r="B2" s="221" t="s">
        <v>9</v>
      </c>
      <c r="C2" s="221"/>
      <c r="D2" s="221"/>
      <c r="E2" s="221"/>
      <c r="F2" s="221"/>
      <c r="G2" s="221"/>
      <c r="H2" s="221"/>
      <c r="I2" s="221" t="s">
        <v>40</v>
      </c>
      <c r="J2" s="221"/>
      <c r="K2" s="278">
        <f>Übersicht!K2</f>
        <v>2017</v>
      </c>
      <c r="L2" s="278"/>
      <c r="M2" s="93"/>
      <c r="N2" s="93"/>
      <c r="O2" s="93"/>
      <c r="P2" s="94"/>
      <c r="Q2" s="154"/>
      <c r="R2" s="154"/>
      <c r="S2" s="69"/>
      <c r="T2" s="69"/>
      <c r="U2" s="69"/>
      <c r="V2" s="3"/>
      <c r="W2" s="3"/>
      <c r="X2" s="3"/>
      <c r="Y2" s="3"/>
      <c r="Z2" s="3"/>
      <c r="AA2" s="3"/>
      <c r="AB2" s="3"/>
      <c r="AC2" s="3"/>
      <c r="AD2" s="3"/>
      <c r="AE2" s="3"/>
      <c r="AF2" s="3"/>
      <c r="AG2" s="3"/>
      <c r="AH2" s="3"/>
    </row>
    <row r="3" spans="1:34" ht="11.25" customHeight="1">
      <c r="A3" s="3"/>
      <c r="B3" s="10"/>
      <c r="C3" s="10"/>
      <c r="D3" s="10"/>
      <c r="E3" s="10"/>
      <c r="F3" s="10"/>
      <c r="G3" s="10"/>
      <c r="H3" s="10"/>
      <c r="I3" s="10"/>
      <c r="J3" s="10"/>
      <c r="K3" s="10"/>
      <c r="L3" s="10"/>
      <c r="M3" s="10"/>
      <c r="N3" s="10"/>
      <c r="O3" s="10"/>
      <c r="P3" s="8"/>
      <c r="Q3" s="154"/>
      <c r="R3" s="154"/>
      <c r="S3" s="69"/>
      <c r="T3" s="69"/>
      <c r="U3" s="69"/>
      <c r="V3" s="3"/>
      <c r="W3" s="3"/>
      <c r="X3" s="3"/>
      <c r="Y3" s="3"/>
      <c r="Z3" s="3"/>
      <c r="AA3" s="3"/>
      <c r="AB3" s="3"/>
      <c r="AC3" s="3"/>
      <c r="AD3" s="3"/>
      <c r="AE3" s="3"/>
      <c r="AF3" s="3"/>
      <c r="AG3" s="3"/>
      <c r="AH3" s="3"/>
    </row>
    <row r="4" spans="1:34" ht="15" customHeight="1">
      <c r="A4" s="3"/>
      <c r="B4" s="11"/>
      <c r="C4" s="12"/>
      <c r="D4" s="12"/>
      <c r="E4" s="12"/>
      <c r="F4" s="12"/>
      <c r="G4" s="12"/>
      <c r="H4" s="12"/>
      <c r="I4" s="12"/>
      <c r="J4" s="12"/>
      <c r="K4" s="12"/>
      <c r="L4" s="12"/>
      <c r="M4" s="12"/>
      <c r="N4" s="12"/>
      <c r="O4" s="12"/>
      <c r="P4" s="13"/>
      <c r="Q4" s="154"/>
      <c r="R4" s="154"/>
      <c r="S4" s="69"/>
      <c r="T4" s="69"/>
      <c r="U4" s="69"/>
      <c r="V4" s="3"/>
      <c r="W4" s="3"/>
      <c r="X4" s="3"/>
      <c r="Y4" s="3"/>
      <c r="Z4" s="3"/>
      <c r="AA4" s="3"/>
      <c r="AB4" s="3"/>
      <c r="AC4" s="3"/>
      <c r="AD4" s="3"/>
      <c r="AE4" s="3"/>
      <c r="AF4" s="3"/>
      <c r="AG4" s="3"/>
      <c r="AH4" s="3"/>
    </row>
    <row r="5" spans="1:34" ht="22.5" customHeight="1">
      <c r="A5" s="3"/>
      <c r="B5" s="107"/>
      <c r="C5" s="25" t="s">
        <v>3</v>
      </c>
      <c r="D5" s="15"/>
      <c r="E5" s="258" t="str">
        <f>IF(Übersicht!E5&lt;&gt;"",Übersicht!E5,"")</f>
        <v>Jansen, David</v>
      </c>
      <c r="F5" s="259"/>
      <c r="G5" s="259"/>
      <c r="H5" s="260"/>
      <c r="I5" s="16"/>
      <c r="J5" s="25" t="s">
        <v>65</v>
      </c>
      <c r="K5" s="16"/>
      <c r="M5" s="261">
        <f>IF(Übersicht!M5&lt;&gt;"",Übersicht!M5,"")</f>
        <v>419510</v>
      </c>
      <c r="N5" s="262"/>
      <c r="O5" s="263"/>
      <c r="P5" s="17"/>
      <c r="Q5" s="155"/>
      <c r="R5" s="155"/>
      <c r="S5" s="68"/>
      <c r="T5" s="68"/>
      <c r="V5" s="3"/>
      <c r="W5" s="3"/>
      <c r="X5" s="3"/>
      <c r="Y5" s="3"/>
      <c r="Z5" s="3"/>
      <c r="AA5" s="3"/>
      <c r="AB5" s="3"/>
      <c r="AC5" s="3"/>
      <c r="AD5" s="3"/>
      <c r="AE5" s="3"/>
      <c r="AF5" s="3"/>
      <c r="AG5" s="3"/>
      <c r="AH5" s="3"/>
    </row>
    <row r="6" spans="1:34" ht="15">
      <c r="A6" s="3"/>
      <c r="B6" s="18"/>
      <c r="C6" s="19"/>
      <c r="D6" s="19"/>
      <c r="E6" s="19"/>
      <c r="F6" s="19"/>
      <c r="G6" s="20"/>
      <c r="H6" s="20"/>
      <c r="I6" s="16"/>
      <c r="J6" s="16"/>
      <c r="P6" s="23"/>
      <c r="Q6" s="156"/>
      <c r="R6" s="156"/>
      <c r="V6" s="3"/>
      <c r="W6" s="3"/>
      <c r="X6" s="3"/>
      <c r="Y6" s="3"/>
      <c r="Z6" s="3"/>
      <c r="AA6" s="3"/>
      <c r="AB6" s="3"/>
      <c r="AC6" s="3"/>
      <c r="AD6" s="3"/>
      <c r="AE6" s="3"/>
      <c r="AF6" s="3"/>
      <c r="AG6" s="3"/>
      <c r="AH6" s="3"/>
    </row>
    <row r="7" spans="1:34" ht="22.5" customHeight="1">
      <c r="A7" s="3"/>
      <c r="B7" s="107"/>
      <c r="C7" s="25" t="s">
        <v>7</v>
      </c>
      <c r="D7" s="16"/>
      <c r="E7" s="258" t="str">
        <f>IF(Übersicht!E7&lt;&gt;"",Übersicht!E7,"")</f>
        <v>Hiwi</v>
      </c>
      <c r="F7" s="259"/>
      <c r="G7" s="259"/>
      <c r="H7" s="260"/>
      <c r="I7" s="16"/>
      <c r="J7" s="25" t="s">
        <v>74</v>
      </c>
      <c r="K7" s="16"/>
      <c r="M7" s="272">
        <f>Oktober!K54</f>
        <v>-171.25</v>
      </c>
      <c r="N7" s="285"/>
      <c r="O7" s="286"/>
      <c r="P7" s="23"/>
      <c r="Q7" s="156"/>
      <c r="R7" s="6" t="s">
        <v>81</v>
      </c>
      <c r="S7" s="211" t="b">
        <f>OR(IF(E7&gt;"",IF(MID(E7,LEN(E7)-1,2)="WE","WAHR",FALSE),FALSE),IF(E7&gt;"",IF(MID(E7,LEN(E7)-2,3)="WEF","WAHR",FALSE),FALSE))</f>
        <v>0</v>
      </c>
      <c r="V7" s="3"/>
      <c r="W7" s="3"/>
      <c r="X7" s="3"/>
      <c r="Y7" s="3"/>
      <c r="Z7" s="3"/>
      <c r="AA7" s="3"/>
      <c r="AB7" s="3"/>
      <c r="AC7" s="3"/>
      <c r="AD7" s="3"/>
      <c r="AE7" s="3"/>
      <c r="AF7" s="3"/>
      <c r="AG7" s="3"/>
      <c r="AH7" s="3"/>
    </row>
    <row r="8" spans="1:34" ht="22.5" customHeight="1">
      <c r="A8" s="3"/>
      <c r="B8" s="186"/>
      <c r="C8" s="187"/>
      <c r="D8" s="187"/>
      <c r="E8" s="187"/>
      <c r="F8" s="188"/>
      <c r="G8" s="189"/>
      <c r="H8" s="189"/>
      <c r="I8" s="189"/>
      <c r="J8" s="61"/>
      <c r="K8" s="61"/>
      <c r="L8" s="61"/>
      <c r="M8" s="61"/>
      <c r="N8" s="61"/>
      <c r="O8" s="61"/>
      <c r="P8" s="190"/>
      <c r="Q8" s="156"/>
      <c r="R8" s="6" t="s">
        <v>82</v>
      </c>
      <c r="S8" s="211" t="b">
        <f>IF(E7&gt;"",IF(MID(E7,LEN(E7)-2,3)="WEF","WAHR",FALSE),FALSE)</f>
        <v>0</v>
      </c>
      <c r="V8" s="3"/>
      <c r="W8" s="3"/>
      <c r="X8" s="3"/>
      <c r="Y8" s="3"/>
      <c r="Z8" s="3"/>
      <c r="AA8" s="3"/>
      <c r="AB8" s="3"/>
      <c r="AC8" s="3"/>
      <c r="AD8" s="3"/>
      <c r="AE8" s="3"/>
      <c r="AF8" s="3"/>
      <c r="AG8" s="3"/>
      <c r="AH8" s="3"/>
    </row>
    <row r="9" spans="1:34" ht="22.5" customHeight="1">
      <c r="A9" s="3"/>
      <c r="B9" s="107"/>
      <c r="C9" s="25" t="s">
        <v>73</v>
      </c>
      <c r="D9" s="16"/>
      <c r="E9" s="191" t="str">
        <f>IF(Übersicht!E11&lt;&gt;"",Übersicht!E11,"")</f>
        <v>Innogy Abwasser</v>
      </c>
      <c r="F9" s="192"/>
      <c r="G9" s="192"/>
      <c r="H9" s="192"/>
      <c r="I9" s="192"/>
      <c r="J9" s="192"/>
      <c r="K9" s="192"/>
      <c r="L9" s="192"/>
      <c r="M9" s="192"/>
      <c r="N9" s="192"/>
      <c r="O9" s="193"/>
      <c r="P9" s="23"/>
      <c r="Q9" s="156"/>
      <c r="R9" s="156"/>
      <c r="V9" s="3"/>
      <c r="W9" s="3"/>
      <c r="X9" s="3"/>
      <c r="Y9" s="3"/>
      <c r="Z9" s="3"/>
      <c r="AA9" s="3"/>
      <c r="AB9" s="3"/>
      <c r="AC9" s="3"/>
      <c r="AD9" s="3"/>
      <c r="AE9" s="3"/>
      <c r="AF9" s="3"/>
      <c r="AG9" s="3"/>
      <c r="AH9" s="3"/>
    </row>
    <row r="10" spans="1:34" ht="15">
      <c r="A10" s="3"/>
      <c r="B10" s="14"/>
      <c r="C10" s="25"/>
      <c r="D10" s="25"/>
      <c r="E10" s="25"/>
      <c r="F10" s="19"/>
      <c r="G10" s="26"/>
      <c r="H10" s="26"/>
      <c r="I10" s="26"/>
      <c r="P10" s="23"/>
      <c r="Q10" s="157"/>
      <c r="R10" s="157"/>
      <c r="S10" s="68"/>
      <c r="T10" s="68"/>
      <c r="U10" s="68"/>
      <c r="V10" s="3"/>
      <c r="W10" s="3"/>
      <c r="X10" s="3"/>
      <c r="Y10" s="3"/>
      <c r="Z10" s="3"/>
      <c r="AA10" s="3"/>
      <c r="AB10" s="3"/>
      <c r="AC10" s="3"/>
      <c r="AD10" s="3"/>
      <c r="AE10" s="3"/>
      <c r="AF10" s="3"/>
      <c r="AG10" s="3"/>
      <c r="AH10" s="3"/>
    </row>
    <row r="11" spans="1:34" ht="15" customHeight="1">
      <c r="A11" s="3"/>
      <c r="B11" s="112"/>
      <c r="C11" s="113"/>
      <c r="D11" s="114"/>
      <c r="E11" s="114"/>
      <c r="F11" s="115"/>
      <c r="G11" s="115"/>
      <c r="H11" s="116" t="s">
        <v>42</v>
      </c>
      <c r="I11" s="117" t="s">
        <v>12</v>
      </c>
      <c r="J11" s="118" t="s">
        <v>13</v>
      </c>
      <c r="K11" s="119" t="s">
        <v>14</v>
      </c>
      <c r="L11" s="117" t="s">
        <v>15</v>
      </c>
      <c r="M11" s="117" t="s">
        <v>16</v>
      </c>
      <c r="N11" s="120"/>
      <c r="O11" s="150"/>
      <c r="P11" s="23"/>
      <c r="Q11" s="156"/>
      <c r="R11" s="156"/>
      <c r="V11" s="3"/>
      <c r="W11" s="3"/>
      <c r="X11" s="3"/>
      <c r="Y11" s="3"/>
      <c r="Z11" s="3"/>
      <c r="AA11" s="3"/>
      <c r="AB11" s="3"/>
      <c r="AC11" s="3"/>
      <c r="AD11" s="3"/>
      <c r="AE11" s="3"/>
      <c r="AF11" s="3"/>
      <c r="AG11" s="3"/>
      <c r="AH11" s="3"/>
    </row>
    <row r="12" spans="1:34" ht="22.5" customHeight="1">
      <c r="A12" s="3"/>
      <c r="B12" s="112"/>
      <c r="C12" s="14" t="s">
        <v>30</v>
      </c>
      <c r="D12" s="21"/>
      <c r="E12" s="22"/>
      <c r="F12" s="152">
        <f>IF(Oktober!F16&gt;0,Oktober!F16,Oktober!F12)</f>
        <v>10</v>
      </c>
      <c r="G12" s="92"/>
      <c r="H12" s="121" t="s">
        <v>43</v>
      </c>
      <c r="I12" s="122">
        <f>$F$12/5</f>
        <v>2</v>
      </c>
      <c r="J12" s="123">
        <f>$F$12/5</f>
        <v>2</v>
      </c>
      <c r="K12" s="123">
        <f>$F$12/5</f>
        <v>2</v>
      </c>
      <c r="L12" s="123">
        <f>$F$12/5</f>
        <v>2</v>
      </c>
      <c r="M12" s="124">
        <f>$F$12/5</f>
        <v>2</v>
      </c>
      <c r="N12" s="125" t="s">
        <v>45</v>
      </c>
      <c r="O12" s="150"/>
      <c r="P12" s="23"/>
      <c r="Q12" s="156"/>
      <c r="R12" s="156"/>
      <c r="V12" s="3"/>
      <c r="W12" s="3"/>
      <c r="X12" s="3"/>
      <c r="Y12" s="3"/>
      <c r="Z12" s="3"/>
      <c r="AA12" s="3"/>
      <c r="AB12" s="3"/>
      <c r="AC12" s="3"/>
      <c r="AD12" s="3"/>
      <c r="AE12" s="3"/>
      <c r="AF12" s="3"/>
      <c r="AG12" s="3"/>
      <c r="AH12" s="3"/>
    </row>
    <row r="13" spans="1:34" ht="22.5" customHeight="1">
      <c r="A13" s="3"/>
      <c r="B13" s="112"/>
      <c r="C13" s="126"/>
      <c r="D13" s="151"/>
      <c r="E13" s="151"/>
      <c r="F13" s="127"/>
      <c r="G13" s="127"/>
      <c r="H13" s="128" t="s">
        <v>44</v>
      </c>
      <c r="I13" s="108"/>
      <c r="J13" s="109"/>
      <c r="K13" s="109"/>
      <c r="L13" s="109"/>
      <c r="M13" s="110"/>
      <c r="N13" s="88">
        <f>SUM(I13:M13)</f>
        <v>0</v>
      </c>
      <c r="O13" s="150"/>
      <c r="P13" s="23"/>
      <c r="Q13" s="156"/>
      <c r="R13" s="156"/>
      <c r="V13" s="3"/>
      <c r="W13" s="3"/>
      <c r="X13" s="3"/>
      <c r="Y13" s="3"/>
      <c r="Z13" s="3"/>
      <c r="AA13" s="3"/>
      <c r="AB13" s="3"/>
      <c r="AC13" s="3"/>
      <c r="AD13" s="3"/>
      <c r="AE13" s="3"/>
      <c r="AF13" s="3"/>
      <c r="AG13" s="3"/>
      <c r="AH13" s="3"/>
    </row>
    <row r="14" spans="1:34" ht="18.75" customHeight="1">
      <c r="A14" s="3"/>
      <c r="B14" s="112"/>
      <c r="C14" s="149" t="s">
        <v>80</v>
      </c>
      <c r="D14" s="25"/>
      <c r="E14" s="27"/>
      <c r="F14" s="7"/>
      <c r="G14" s="7"/>
      <c r="O14" s="150"/>
      <c r="P14" s="23"/>
      <c r="Q14" s="156"/>
      <c r="R14" s="156"/>
      <c r="V14" s="3"/>
      <c r="W14" s="3"/>
      <c r="X14" s="3"/>
      <c r="Y14" s="3"/>
      <c r="Z14" s="3"/>
      <c r="AA14" s="3"/>
      <c r="AB14" s="3"/>
      <c r="AC14" s="3"/>
      <c r="AD14" s="3"/>
      <c r="AE14" s="3"/>
      <c r="AF14" s="3"/>
      <c r="AG14" s="3"/>
      <c r="AH14" s="3"/>
    </row>
    <row r="15" spans="1:34" ht="15" customHeight="1">
      <c r="A15" s="3"/>
      <c r="B15" s="112"/>
      <c r="C15" s="111"/>
      <c r="D15" s="129"/>
      <c r="E15" s="130"/>
      <c r="F15" s="130"/>
      <c r="G15" s="131"/>
      <c r="H15" s="132" t="s">
        <v>49</v>
      </c>
      <c r="I15" s="133" t="s">
        <v>12</v>
      </c>
      <c r="J15" s="134" t="s">
        <v>13</v>
      </c>
      <c r="K15" s="135" t="s">
        <v>14</v>
      </c>
      <c r="L15" s="133" t="s">
        <v>15</v>
      </c>
      <c r="M15" s="133" t="s">
        <v>16</v>
      </c>
      <c r="N15" s="136"/>
      <c r="O15" s="150"/>
      <c r="P15" s="23"/>
      <c r="Q15" s="156"/>
      <c r="R15" s="156"/>
      <c r="V15" s="3"/>
      <c r="W15" s="3"/>
      <c r="X15" s="3"/>
      <c r="Y15" s="3"/>
      <c r="Z15" s="3"/>
      <c r="AA15" s="3"/>
      <c r="AB15" s="3"/>
      <c r="AC15" s="3"/>
      <c r="AD15" s="3"/>
      <c r="AE15" s="3"/>
      <c r="AF15" s="3"/>
      <c r="AG15" s="3"/>
      <c r="AH15" s="3"/>
    </row>
    <row r="16" spans="1:34" ht="23.25" customHeight="1">
      <c r="A16" s="3"/>
      <c r="B16" s="112"/>
      <c r="C16" s="147" t="s">
        <v>48</v>
      </c>
      <c r="D16" s="148"/>
      <c r="E16" s="148"/>
      <c r="F16" s="152"/>
      <c r="G16" s="137"/>
      <c r="H16" s="138" t="s">
        <v>43</v>
      </c>
      <c r="I16" s="139">
        <f>$F$16/5</f>
        <v>0</v>
      </c>
      <c r="J16" s="140">
        <f>$F$16/5</f>
        <v>0</v>
      </c>
      <c r="K16" s="140">
        <f>$F$16/5</f>
        <v>0</v>
      </c>
      <c r="L16" s="140">
        <f>$F$16/5</f>
        <v>0</v>
      </c>
      <c r="M16" s="141">
        <f>$F$16/5</f>
        <v>0</v>
      </c>
      <c r="N16" s="142" t="s">
        <v>45</v>
      </c>
      <c r="O16" s="150"/>
      <c r="P16" s="23"/>
      <c r="Q16" s="156"/>
      <c r="R16" s="156"/>
      <c r="V16" s="3"/>
      <c r="W16" s="3"/>
      <c r="X16" s="3"/>
      <c r="Y16" s="3"/>
      <c r="Z16" s="3"/>
      <c r="AA16" s="3"/>
      <c r="AB16" s="3"/>
      <c r="AC16" s="3"/>
      <c r="AD16" s="3"/>
      <c r="AE16" s="3"/>
      <c r="AF16" s="3"/>
      <c r="AG16" s="3"/>
      <c r="AH16" s="3"/>
    </row>
    <row r="17" spans="1:252" ht="22.5" customHeight="1">
      <c r="A17" s="3"/>
      <c r="B17" s="112"/>
      <c r="C17" s="143" t="s">
        <v>47</v>
      </c>
      <c r="D17" s="144"/>
      <c r="E17" s="279"/>
      <c r="F17" s="279"/>
      <c r="G17" s="153" t="b">
        <f>IF($E$17&lt;&gt;0,TRUE(),FALSE())</f>
        <v>0</v>
      </c>
      <c r="H17" s="145" t="s">
        <v>44</v>
      </c>
      <c r="I17" s="108"/>
      <c r="J17" s="109"/>
      <c r="K17" s="109"/>
      <c r="L17" s="109"/>
      <c r="M17" s="110"/>
      <c r="N17" s="146">
        <f>SUM(I17:M17)</f>
        <v>0</v>
      </c>
      <c r="O17" s="150"/>
      <c r="P17" s="23"/>
      <c r="Q17" s="156"/>
      <c r="R17" s="156"/>
      <c r="V17" s="3"/>
      <c r="W17" s="3"/>
      <c r="X17" s="3"/>
      <c r="Y17" s="3"/>
      <c r="Z17" s="3"/>
      <c r="AA17" s="3"/>
      <c r="AB17" s="3"/>
      <c r="AC17" s="3"/>
      <c r="AD17" s="3"/>
      <c r="AE17" s="3"/>
      <c r="AF17" s="3"/>
      <c r="AG17" s="3"/>
      <c r="AH17" s="3"/>
    </row>
    <row r="18" spans="1:252" ht="15">
      <c r="A18" s="3"/>
      <c r="B18" s="85"/>
      <c r="C18" s="86"/>
      <c r="D18" s="87"/>
      <c r="E18" s="87"/>
      <c r="F18" s="87"/>
      <c r="G18" s="87"/>
      <c r="H18" s="87"/>
      <c r="I18" s="87"/>
      <c r="J18" s="87"/>
      <c r="K18" s="9"/>
      <c r="L18" s="9"/>
      <c r="M18" s="9"/>
      <c r="N18" s="9"/>
      <c r="O18" s="9"/>
      <c r="P18" s="28"/>
      <c r="Q18" s="156"/>
      <c r="R18" s="156"/>
      <c r="V18" s="3"/>
      <c r="W18" s="3"/>
      <c r="X18" s="3"/>
      <c r="Y18" s="3"/>
      <c r="Z18" s="3"/>
      <c r="AA18" s="3"/>
      <c r="AB18" s="3"/>
      <c r="AC18" s="3"/>
      <c r="AD18" s="3"/>
      <c r="AE18" s="3"/>
      <c r="AF18" s="3"/>
      <c r="AG18" s="3"/>
      <c r="AH18" s="3"/>
    </row>
    <row r="19" spans="1:252" ht="15.75" thickBot="1">
      <c r="A19" s="29"/>
      <c r="B19" s="164"/>
      <c r="C19" s="68"/>
      <c r="D19" s="68"/>
      <c r="E19" s="68"/>
      <c r="F19" s="68"/>
      <c r="G19" s="68"/>
      <c r="H19" s="68"/>
      <c r="I19" s="68"/>
      <c r="J19" s="68"/>
      <c r="K19" s="68"/>
      <c r="L19" s="68"/>
      <c r="M19" s="68"/>
      <c r="N19" s="68"/>
      <c r="O19" s="68"/>
      <c r="P19" s="68"/>
      <c r="Q19" s="157"/>
      <c r="R19" s="157"/>
      <c r="S19" s="68"/>
      <c r="T19" s="68"/>
      <c r="U19" s="68"/>
    </row>
    <row r="20" spans="1:252" s="4" customFormat="1" ht="18.75" customHeight="1">
      <c r="A20" s="30"/>
      <c r="B20" s="202"/>
      <c r="C20" s="264" t="s">
        <v>29</v>
      </c>
      <c r="D20" s="265"/>
      <c r="E20" s="265"/>
      <c r="F20" s="266" t="s">
        <v>67</v>
      </c>
      <c r="G20" s="267"/>
      <c r="H20" s="268"/>
      <c r="I20" s="269" t="s">
        <v>25</v>
      </c>
      <c r="J20" s="269"/>
      <c r="K20" s="270"/>
      <c r="L20" s="271"/>
      <c r="M20" s="269"/>
      <c r="N20" s="269"/>
      <c r="O20" s="269"/>
      <c r="P20" s="270"/>
      <c r="Q20" s="158"/>
      <c r="R20" s="158"/>
      <c r="S20" s="70" t="s">
        <v>22</v>
      </c>
      <c r="T20" s="70" t="s">
        <v>23</v>
      </c>
      <c r="U20" s="70" t="s">
        <v>23</v>
      </c>
      <c r="V20" s="71" t="s">
        <v>24</v>
      </c>
      <c r="W20" s="71" t="s">
        <v>22</v>
      </c>
      <c r="X20" s="71" t="s">
        <v>22</v>
      </c>
      <c r="Y20" s="71"/>
      <c r="Z20" s="71"/>
      <c r="AA20" s="70"/>
      <c r="AB20" s="70"/>
      <c r="AC20" s="71"/>
      <c r="AD20" s="97"/>
      <c r="AE20" s="97"/>
      <c r="AF20" s="98"/>
      <c r="AG20" s="98"/>
      <c r="AH20" s="98"/>
    </row>
    <row r="21" spans="1:252" ht="18.75" customHeight="1">
      <c r="A21" s="31">
        <f>DATEVALUE(I2&amp;K2)</f>
        <v>43040</v>
      </c>
      <c r="B21" s="203" t="s">
        <v>0</v>
      </c>
      <c r="C21" s="1" t="s">
        <v>8</v>
      </c>
      <c r="D21" s="5"/>
      <c r="E21" s="204" t="s">
        <v>18</v>
      </c>
      <c r="F21" s="173" t="s">
        <v>1</v>
      </c>
      <c r="G21" s="174" t="s">
        <v>6</v>
      </c>
      <c r="H21" s="175" t="s">
        <v>2</v>
      </c>
      <c r="I21" s="204" t="s">
        <v>17</v>
      </c>
      <c r="J21" s="2" t="s">
        <v>21</v>
      </c>
      <c r="K21" s="204" t="s">
        <v>19</v>
      </c>
      <c r="L21" s="275" t="s">
        <v>71</v>
      </c>
      <c r="M21" s="276"/>
      <c r="N21" s="276"/>
      <c r="O21" s="276"/>
      <c r="P21" s="277"/>
      <c r="Q21" s="159"/>
      <c r="R21" s="159"/>
      <c r="S21" s="72" t="s">
        <v>11</v>
      </c>
      <c r="T21" s="72" t="s">
        <v>1</v>
      </c>
      <c r="U21" s="72" t="s">
        <v>6</v>
      </c>
      <c r="V21" s="73" t="s">
        <v>2</v>
      </c>
      <c r="W21" s="73" t="s">
        <v>20</v>
      </c>
      <c r="X21" s="74" t="s">
        <v>21</v>
      </c>
      <c r="Y21" s="73" t="s">
        <v>19</v>
      </c>
      <c r="Z21" s="75"/>
    </row>
    <row r="22" spans="1:252" ht="20.25" customHeight="1">
      <c r="A22" s="32" t="str">
        <f t="shared" ref="A22:A52" si="0">TEXT(B22,"TTTT")</f>
        <v>Mittwoch</v>
      </c>
      <c r="B22" s="33">
        <f>($A$21+ROW(B1)-1)*(MONTH($A$21+1)=MONTH($A$21))</f>
        <v>43040</v>
      </c>
      <c r="C22" s="185" t="str">
        <f>IF(OR(A22="Samstag",A22="Sonntag"),"",IF(COUNTIF(Übersicht!C$16:C$30,B22)&gt;0,"BA",""))</f>
        <v>BA</v>
      </c>
      <c r="D22" s="34"/>
      <c r="E22" s="172" t="str">
        <f>IF(OR(A22="Samstag",A22="Sonntag",C22="BA"),"",
IF(C22="SV",D22,
IF(OR($E$17="",B22&lt;$E$17),IF($N$13=0,HLOOKUP($A22,$I$11:$M$12,2,FALSE),IF($N$13=$F$12,HLOOKUP($A22,$I$11:$M$13,3,FALSE),"FEHLER")),
IF($N$17=0,HLOOKUP($A22,$I$15:$M$16,2,FALSE),IF($N$17=$F$16,HLOOKUP($A22,$I$15:$M$17,3,FALSE),"FEHLER")))))</f>
        <v/>
      </c>
      <c r="F22" s="195"/>
      <c r="G22" s="196"/>
      <c r="H22" s="197"/>
      <c r="I22" s="38">
        <f t="shared" ref="I22:I52" si="1">IF(OR(C22="K",C22="U",C22="F"),E22,IF(C22="SU",IF(H22="",D22,((H22-F22)-G22)+D22),IF(AND(H22="",E22=""),0,((H22-F22)-G22)*24)))</f>
        <v>0</v>
      </c>
      <c r="J22" s="35">
        <f>IF(E22="Fehler",0,IF(E22="",I22,I22-E22))</f>
        <v>0</v>
      </c>
      <c r="K22" s="36">
        <f>M7+J22</f>
        <v>-171.25</v>
      </c>
      <c r="L22" s="251"/>
      <c r="M22" s="252"/>
      <c r="N22" s="252"/>
      <c r="O22" s="252"/>
      <c r="P22" s="253"/>
      <c r="Q22" s="89"/>
      <c r="R22" s="165"/>
      <c r="S22" s="76"/>
      <c r="T22" s="76"/>
      <c r="U22" s="76"/>
      <c r="V22" s="76"/>
      <c r="W22" s="76"/>
      <c r="X22" s="76"/>
      <c r="Y22" s="76"/>
      <c r="Z22" s="76"/>
      <c r="AB22" s="166"/>
      <c r="AE22" s="99"/>
    </row>
    <row r="23" spans="1:252" s="96" customFormat="1" ht="20.25" customHeight="1">
      <c r="A23" s="32" t="str">
        <f t="shared" si="0"/>
        <v>Donnerstag</v>
      </c>
      <c r="B23" s="37">
        <f t="shared" ref="B23:B52" si="2">($A$21+ROW(B2)-1)*(MONTH(B22+1)=MONTH($A$21))</f>
        <v>43041</v>
      </c>
      <c r="C23" s="185" t="str">
        <f>IF(OR(A23="Samstag",A23="Sonntag"),"",IF(COUNTIF(Übersicht!C$16:C$30,B23)&gt;0,"BA",""))</f>
        <v/>
      </c>
      <c r="D23" s="38"/>
      <c r="E23" s="172">
        <f>IF(OR(A23="Samstag",A23="Sonntag",C23="BA"),"",
IF(C23="SV",D23,
IF(OR($E$17="",B23&lt;$E$17),IF($N$13=0,HLOOKUP($A23,$I$11:$M$12,2,FALSE),IF($N$13=$F$12,HLOOKUP($A23,$I$11:$M$13,3,FALSE),"FEHLER")),
IF($N$17=0,HLOOKUP($A23,$I$15:$M$16,2,FALSE),IF($N$17=$F$16,HLOOKUP($A23,$I$15:$M$17,3,FALSE),"FEHLER")))))</f>
        <v>2</v>
      </c>
      <c r="F23" s="176"/>
      <c r="G23" s="177"/>
      <c r="H23" s="178"/>
      <c r="I23" s="38">
        <f t="shared" si="1"/>
        <v>0</v>
      </c>
      <c r="J23" s="35">
        <f t="shared" ref="J23:J52" si="3">IF(E23="Fehler",0,IF(E23="",I23,I23-E23))</f>
        <v>-2</v>
      </c>
      <c r="K23" s="36">
        <f>SUM(K22,J23)</f>
        <v>-173.25</v>
      </c>
      <c r="L23" s="251"/>
      <c r="M23" s="252"/>
      <c r="N23" s="252"/>
      <c r="O23" s="252"/>
      <c r="P23" s="253"/>
      <c r="Q23" s="89"/>
      <c r="R23" s="165"/>
      <c r="S23" s="76"/>
      <c r="T23" s="76"/>
      <c r="U23" s="76"/>
      <c r="V23" s="76"/>
      <c r="W23" s="76"/>
      <c r="X23" s="76"/>
      <c r="Y23" s="76"/>
      <c r="Z23" s="76"/>
      <c r="AA23" s="68"/>
      <c r="AB23" s="166"/>
      <c r="AC23" s="6"/>
      <c r="AD23" s="95"/>
      <c r="AE23" s="99"/>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row>
    <row r="24" spans="1:252" s="96" customFormat="1" ht="20.25" customHeight="1">
      <c r="A24" s="32" t="str">
        <f t="shared" si="0"/>
        <v>Freitag</v>
      </c>
      <c r="B24" s="37">
        <f t="shared" si="2"/>
        <v>43042</v>
      </c>
      <c r="C24" s="185" t="str">
        <f>IF(OR(A24="Samstag",A24="Sonntag"),"",IF(COUNTIF(Übersicht!C$16:C$30,B24)&gt;0,"BA",""))</f>
        <v/>
      </c>
      <c r="D24" s="38"/>
      <c r="E24" s="172">
        <f t="shared" ref="E24:E52" si="4">IF(OR(A24="Samstag",A24="Sonntag",C24="BA"),"",
IF(C24="SV",D24,
IF(OR($E$17="",B24&lt;$E$17),IF($N$13=0,HLOOKUP($A24,$I$11:$M$12,2,FALSE),IF($N$13=$F$12,HLOOKUP($A24,$I$11:$M$13,3,FALSE),"FEHLER")),
IF($N$17=0,HLOOKUP($A24,$I$15:$M$16,2,FALSE),IF($N$17=$F$16,HLOOKUP($A24,$I$15:$M$17,3,FALSE),"FEHLER")))))</f>
        <v>2</v>
      </c>
      <c r="F24" s="176"/>
      <c r="G24" s="177"/>
      <c r="H24" s="178"/>
      <c r="I24" s="38">
        <f t="shared" si="1"/>
        <v>0</v>
      </c>
      <c r="J24" s="35">
        <f t="shared" si="3"/>
        <v>-2</v>
      </c>
      <c r="K24" s="36">
        <f t="shared" ref="K24:K52" si="5">SUM(K23,J24)</f>
        <v>-175.25</v>
      </c>
      <c r="L24" s="251"/>
      <c r="M24" s="252"/>
      <c r="N24" s="252"/>
      <c r="O24" s="252"/>
      <c r="P24" s="253"/>
      <c r="Q24" s="89"/>
      <c r="R24" s="165"/>
      <c r="S24" s="76"/>
      <c r="T24" s="76"/>
      <c r="U24" s="76"/>
      <c r="V24" s="76"/>
      <c r="W24" s="76"/>
      <c r="X24" s="76"/>
      <c r="Y24" s="76"/>
      <c r="Z24" s="76"/>
      <c r="AA24" s="68"/>
      <c r="AB24" s="166"/>
      <c r="AC24" s="6"/>
      <c r="AD24" s="95"/>
      <c r="AE24" s="99"/>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row>
    <row r="25" spans="1:252" s="96" customFormat="1" ht="20.25" customHeight="1">
      <c r="A25" s="32" t="str">
        <f t="shared" si="0"/>
        <v>Samstag</v>
      </c>
      <c r="B25" s="37">
        <f t="shared" si="2"/>
        <v>43043</v>
      </c>
      <c r="C25" s="185" t="str">
        <f>IF(OR(A25="Samstag",A25="Sonntag"),"",IF(COUNTIF(Übersicht!C$16:C$30,B25)&gt;0,"BA",""))</f>
        <v/>
      </c>
      <c r="D25" s="38"/>
      <c r="E25" s="172" t="str">
        <f t="shared" si="4"/>
        <v/>
      </c>
      <c r="F25" s="176"/>
      <c r="G25" s="177"/>
      <c r="H25" s="178"/>
      <c r="I25" s="38">
        <f t="shared" si="1"/>
        <v>0</v>
      </c>
      <c r="J25" s="35">
        <f t="shared" si="3"/>
        <v>0</v>
      </c>
      <c r="K25" s="36">
        <f t="shared" si="5"/>
        <v>-175.25</v>
      </c>
      <c r="L25" s="251"/>
      <c r="M25" s="252"/>
      <c r="N25" s="252"/>
      <c r="O25" s="252"/>
      <c r="P25" s="253"/>
      <c r="Q25" s="89"/>
      <c r="R25" s="165"/>
      <c r="S25" s="76"/>
      <c r="T25" s="76"/>
      <c r="U25" s="76"/>
      <c r="V25" s="76"/>
      <c r="W25" s="76"/>
      <c r="X25" s="76"/>
      <c r="Y25" s="76"/>
      <c r="Z25" s="76"/>
      <c r="AA25" s="68"/>
      <c r="AB25" s="166"/>
      <c r="AC25" s="6"/>
      <c r="AD25" s="95"/>
      <c r="AE25" s="99"/>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row>
    <row r="26" spans="1:252" s="96" customFormat="1" ht="20.25" customHeight="1">
      <c r="A26" s="32" t="str">
        <f t="shared" si="0"/>
        <v>Sonntag</v>
      </c>
      <c r="B26" s="37">
        <f t="shared" si="2"/>
        <v>43044</v>
      </c>
      <c r="C26" s="185" t="str">
        <f>IF(OR(A26="Samstag",A26="Sonntag"),"",IF(COUNTIF(Übersicht!C$16:C$30,B26)&gt;0,"BA",""))</f>
        <v/>
      </c>
      <c r="D26" s="38"/>
      <c r="E26" s="172" t="str">
        <f t="shared" si="4"/>
        <v/>
      </c>
      <c r="F26" s="176"/>
      <c r="G26" s="177"/>
      <c r="H26" s="178"/>
      <c r="I26" s="38">
        <f t="shared" si="1"/>
        <v>0</v>
      </c>
      <c r="J26" s="35">
        <f t="shared" si="3"/>
        <v>0</v>
      </c>
      <c r="K26" s="36">
        <f t="shared" si="5"/>
        <v>-175.25</v>
      </c>
      <c r="L26" s="251"/>
      <c r="M26" s="252"/>
      <c r="N26" s="252"/>
      <c r="O26" s="252"/>
      <c r="P26" s="253"/>
      <c r="Q26" s="89"/>
      <c r="R26" s="165"/>
      <c r="S26" s="76"/>
      <c r="T26" s="76"/>
      <c r="U26" s="76"/>
      <c r="V26" s="76"/>
      <c r="W26" s="76"/>
      <c r="X26" s="76"/>
      <c r="Y26" s="76"/>
      <c r="Z26" s="76"/>
      <c r="AA26" s="68"/>
      <c r="AB26" s="166"/>
      <c r="AC26" s="6"/>
      <c r="AD26" s="95"/>
      <c r="AE26" s="99"/>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row>
    <row r="27" spans="1:252" s="96" customFormat="1" ht="20.25" customHeight="1">
      <c r="A27" s="32" t="str">
        <f t="shared" si="0"/>
        <v>Montag</v>
      </c>
      <c r="B27" s="37">
        <f t="shared" si="2"/>
        <v>43045</v>
      </c>
      <c r="C27" s="185" t="str">
        <f>IF(OR(A27="Samstag",A27="Sonntag"),"",IF(COUNTIF(Übersicht!C$16:C$30,B27)&gt;0,"BA",""))</f>
        <v/>
      </c>
      <c r="D27" s="38"/>
      <c r="E27" s="172">
        <f t="shared" si="4"/>
        <v>2</v>
      </c>
      <c r="F27" s="176"/>
      <c r="G27" s="177"/>
      <c r="H27" s="178"/>
      <c r="I27" s="38">
        <f t="shared" si="1"/>
        <v>0</v>
      </c>
      <c r="J27" s="35">
        <f t="shared" si="3"/>
        <v>-2</v>
      </c>
      <c r="K27" s="36">
        <f>SUM(K26,J27)</f>
        <v>-177.25</v>
      </c>
      <c r="L27" s="251"/>
      <c r="M27" s="252"/>
      <c r="N27" s="252"/>
      <c r="O27" s="252"/>
      <c r="P27" s="253"/>
      <c r="Q27" s="89"/>
      <c r="R27" s="165"/>
      <c r="S27" s="76"/>
      <c r="T27" s="76"/>
      <c r="U27" s="76"/>
      <c r="V27" s="76"/>
      <c r="W27" s="76"/>
      <c r="X27" s="76"/>
      <c r="Y27" s="76"/>
      <c r="Z27" s="76"/>
      <c r="AA27" s="68"/>
      <c r="AB27" s="166"/>
      <c r="AC27" s="6"/>
      <c r="AD27" s="95"/>
      <c r="AE27" s="99"/>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row>
    <row r="28" spans="1:252" s="96" customFormat="1" ht="20.25" customHeight="1">
      <c r="A28" s="32" t="str">
        <f t="shared" si="0"/>
        <v>Dienstag</v>
      </c>
      <c r="B28" s="37">
        <f t="shared" si="2"/>
        <v>43046</v>
      </c>
      <c r="C28" s="185" t="str">
        <f>IF(OR(A28="Samstag",A28="Sonntag"),"",IF(COUNTIF(Übersicht!C$16:C$30,B28)&gt;0,"BA",""))</f>
        <v/>
      </c>
      <c r="D28" s="38"/>
      <c r="E28" s="172">
        <f t="shared" si="4"/>
        <v>2</v>
      </c>
      <c r="F28" s="176"/>
      <c r="G28" s="177"/>
      <c r="H28" s="178"/>
      <c r="I28" s="38">
        <f t="shared" si="1"/>
        <v>0</v>
      </c>
      <c r="J28" s="35">
        <f t="shared" si="3"/>
        <v>-2</v>
      </c>
      <c r="K28" s="36">
        <f t="shared" si="5"/>
        <v>-179.25</v>
      </c>
      <c r="L28" s="251"/>
      <c r="M28" s="252"/>
      <c r="N28" s="252"/>
      <c r="O28" s="252"/>
      <c r="P28" s="253"/>
      <c r="Q28" s="89"/>
      <c r="R28" s="165"/>
      <c r="S28" s="76"/>
      <c r="T28" s="76"/>
      <c r="U28" s="76"/>
      <c r="V28" s="76"/>
      <c r="W28" s="76"/>
      <c r="X28" s="76"/>
      <c r="Y28" s="76"/>
      <c r="Z28" s="76"/>
      <c r="AA28" s="68"/>
      <c r="AB28" s="166"/>
      <c r="AC28" s="6"/>
      <c r="AD28" s="95"/>
      <c r="AE28" s="99"/>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row>
    <row r="29" spans="1:252" s="96" customFormat="1" ht="20.25" customHeight="1">
      <c r="A29" s="32" t="str">
        <f t="shared" si="0"/>
        <v>Mittwoch</v>
      </c>
      <c r="B29" s="37">
        <f t="shared" si="2"/>
        <v>43047</v>
      </c>
      <c r="C29" s="185" t="str">
        <f>IF(OR(A29="Samstag",A29="Sonntag"),"",IF(COUNTIF(Übersicht!C$16:C$30,B29)&gt;0,"BA",""))</f>
        <v/>
      </c>
      <c r="D29" s="38"/>
      <c r="E29" s="172">
        <f t="shared" si="4"/>
        <v>2</v>
      </c>
      <c r="F29" s="176"/>
      <c r="G29" s="177"/>
      <c r="H29" s="178"/>
      <c r="I29" s="38">
        <f t="shared" si="1"/>
        <v>0</v>
      </c>
      <c r="J29" s="35">
        <f t="shared" si="3"/>
        <v>-2</v>
      </c>
      <c r="K29" s="36">
        <f t="shared" si="5"/>
        <v>-181.25</v>
      </c>
      <c r="L29" s="251"/>
      <c r="M29" s="252"/>
      <c r="N29" s="252"/>
      <c r="O29" s="252"/>
      <c r="P29" s="253"/>
      <c r="Q29" s="89"/>
      <c r="R29" s="165"/>
      <c r="S29" s="76"/>
      <c r="T29" s="76"/>
      <c r="U29" s="76"/>
      <c r="V29" s="76"/>
      <c r="W29" s="76"/>
      <c r="X29" s="76"/>
      <c r="Y29" s="76"/>
      <c r="Z29" s="76"/>
      <c r="AA29" s="68"/>
      <c r="AB29" s="166"/>
      <c r="AC29" s="6"/>
      <c r="AD29" s="95"/>
      <c r="AE29" s="99"/>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row>
    <row r="30" spans="1:252" s="96" customFormat="1" ht="20.25" customHeight="1">
      <c r="A30" s="32" t="str">
        <f t="shared" si="0"/>
        <v>Donnerstag</v>
      </c>
      <c r="B30" s="37">
        <f t="shared" si="2"/>
        <v>43048</v>
      </c>
      <c r="C30" s="185" t="str">
        <f>IF(OR(A30="Samstag",A30="Sonntag"),"",IF(COUNTIF(Übersicht!C$16:C$30,B30)&gt;0,"BA",""))</f>
        <v/>
      </c>
      <c r="D30" s="38"/>
      <c r="E30" s="172">
        <f t="shared" si="4"/>
        <v>2</v>
      </c>
      <c r="F30" s="176"/>
      <c r="G30" s="177"/>
      <c r="H30" s="178"/>
      <c r="I30" s="38">
        <f t="shared" si="1"/>
        <v>0</v>
      </c>
      <c r="J30" s="35">
        <f t="shared" si="3"/>
        <v>-2</v>
      </c>
      <c r="K30" s="36">
        <f t="shared" si="5"/>
        <v>-183.25</v>
      </c>
      <c r="L30" s="251"/>
      <c r="M30" s="252"/>
      <c r="N30" s="252"/>
      <c r="O30" s="252"/>
      <c r="P30" s="253"/>
      <c r="Q30" s="89"/>
      <c r="R30" s="165"/>
      <c r="S30" s="76"/>
      <c r="T30" s="76"/>
      <c r="U30" s="76"/>
      <c r="V30" s="76"/>
      <c r="W30" s="76"/>
      <c r="X30" s="76"/>
      <c r="Y30" s="76"/>
      <c r="Z30" s="76"/>
      <c r="AA30" s="68"/>
      <c r="AB30" s="166"/>
      <c r="AC30" s="6"/>
      <c r="AD30" s="95"/>
      <c r="AE30" s="99"/>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row>
    <row r="31" spans="1:252" s="96" customFormat="1" ht="20.25" customHeight="1">
      <c r="A31" s="32" t="str">
        <f t="shared" si="0"/>
        <v>Freitag</v>
      </c>
      <c r="B31" s="37">
        <f t="shared" si="2"/>
        <v>43049</v>
      </c>
      <c r="C31" s="185" t="str">
        <f>IF(OR(A31="Samstag",A31="Sonntag"),"",IF(COUNTIF(Übersicht!C$16:C$30,B31)&gt;0,"BA",""))</f>
        <v/>
      </c>
      <c r="D31" s="38"/>
      <c r="E31" s="172">
        <f t="shared" si="4"/>
        <v>2</v>
      </c>
      <c r="F31" s="176"/>
      <c r="G31" s="177"/>
      <c r="H31" s="178"/>
      <c r="I31" s="38">
        <f t="shared" si="1"/>
        <v>0</v>
      </c>
      <c r="J31" s="35">
        <f t="shared" si="3"/>
        <v>-2</v>
      </c>
      <c r="K31" s="36">
        <f t="shared" si="5"/>
        <v>-185.25</v>
      </c>
      <c r="L31" s="251"/>
      <c r="M31" s="252"/>
      <c r="N31" s="252"/>
      <c r="O31" s="252"/>
      <c r="P31" s="253"/>
      <c r="Q31" s="89"/>
      <c r="R31" s="165"/>
      <c r="S31" s="76"/>
      <c r="T31" s="76"/>
      <c r="U31" s="76"/>
      <c r="V31" s="76"/>
      <c r="W31" s="76"/>
      <c r="X31" s="76"/>
      <c r="Y31" s="76"/>
      <c r="Z31" s="76"/>
      <c r="AA31" s="68"/>
      <c r="AB31" s="166"/>
      <c r="AC31" s="6"/>
      <c r="AD31" s="95"/>
      <c r="AE31" s="99"/>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row>
    <row r="32" spans="1:252" s="96" customFormat="1" ht="20.25" customHeight="1">
      <c r="A32" s="32" t="str">
        <f t="shared" si="0"/>
        <v>Samstag</v>
      </c>
      <c r="B32" s="37">
        <f t="shared" si="2"/>
        <v>43050</v>
      </c>
      <c r="C32" s="185" t="str">
        <f>IF(OR(A32="Samstag",A32="Sonntag"),"",IF(COUNTIF(Übersicht!C$16:C$30,B32)&gt;0,"BA",""))</f>
        <v/>
      </c>
      <c r="D32" s="38"/>
      <c r="E32" s="172" t="str">
        <f t="shared" si="4"/>
        <v/>
      </c>
      <c r="F32" s="176"/>
      <c r="G32" s="177"/>
      <c r="H32" s="178"/>
      <c r="I32" s="38">
        <f t="shared" si="1"/>
        <v>0</v>
      </c>
      <c r="J32" s="35">
        <f t="shared" si="3"/>
        <v>0</v>
      </c>
      <c r="K32" s="36">
        <f t="shared" si="5"/>
        <v>-185.25</v>
      </c>
      <c r="L32" s="251"/>
      <c r="M32" s="252"/>
      <c r="N32" s="252"/>
      <c r="O32" s="252"/>
      <c r="P32" s="253"/>
      <c r="Q32" s="89"/>
      <c r="R32" s="165"/>
      <c r="S32" s="76"/>
      <c r="T32" s="76"/>
      <c r="U32" s="76"/>
      <c r="V32" s="76"/>
      <c r="W32" s="76"/>
      <c r="X32" s="76"/>
      <c r="Y32" s="76"/>
      <c r="Z32" s="76"/>
      <c r="AA32" s="68"/>
      <c r="AB32" s="166"/>
      <c r="AC32" s="6"/>
      <c r="AD32" s="95"/>
      <c r="AE32" s="99"/>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row>
    <row r="33" spans="1:252" s="96" customFormat="1" ht="20.25" customHeight="1">
      <c r="A33" s="32" t="str">
        <f t="shared" si="0"/>
        <v>Sonntag</v>
      </c>
      <c r="B33" s="37">
        <f t="shared" si="2"/>
        <v>43051</v>
      </c>
      <c r="C33" s="185" t="str">
        <f>IF(OR(A33="Samstag",A33="Sonntag"),"",IF(COUNTIF(Übersicht!C$16:C$30,B33)&gt;0,"BA",""))</f>
        <v/>
      </c>
      <c r="D33" s="38"/>
      <c r="E33" s="172" t="str">
        <f t="shared" si="4"/>
        <v/>
      </c>
      <c r="F33" s="176"/>
      <c r="G33" s="177"/>
      <c r="H33" s="178"/>
      <c r="I33" s="38">
        <f t="shared" si="1"/>
        <v>0</v>
      </c>
      <c r="J33" s="35">
        <f t="shared" si="3"/>
        <v>0</v>
      </c>
      <c r="K33" s="36">
        <f t="shared" si="5"/>
        <v>-185.25</v>
      </c>
      <c r="L33" s="251"/>
      <c r="M33" s="252"/>
      <c r="N33" s="252"/>
      <c r="O33" s="252"/>
      <c r="P33" s="253"/>
      <c r="Q33" s="89"/>
      <c r="R33" s="165"/>
      <c r="S33" s="76"/>
      <c r="T33" s="76"/>
      <c r="U33" s="76"/>
      <c r="V33" s="76"/>
      <c r="W33" s="76"/>
      <c r="X33" s="76"/>
      <c r="Y33" s="76"/>
      <c r="Z33" s="76"/>
      <c r="AA33" s="68"/>
      <c r="AB33" s="166"/>
      <c r="AC33" s="6"/>
      <c r="AD33" s="95"/>
      <c r="AE33" s="99"/>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row>
    <row r="34" spans="1:252" s="96" customFormat="1" ht="20.25" customHeight="1">
      <c r="A34" s="32" t="str">
        <f t="shared" si="0"/>
        <v>Montag</v>
      </c>
      <c r="B34" s="37">
        <f t="shared" si="2"/>
        <v>43052</v>
      </c>
      <c r="C34" s="185" t="str">
        <f>IF(OR(A34="Samstag",A34="Sonntag"),"",IF(COUNTIF(Übersicht!C$16:C$30,B34)&gt;0,"BA",""))</f>
        <v/>
      </c>
      <c r="D34" s="38"/>
      <c r="E34" s="172">
        <f t="shared" si="4"/>
        <v>2</v>
      </c>
      <c r="F34" s="176"/>
      <c r="G34" s="177"/>
      <c r="H34" s="178"/>
      <c r="I34" s="38">
        <f t="shared" si="1"/>
        <v>0</v>
      </c>
      <c r="J34" s="35">
        <f t="shared" si="3"/>
        <v>-2</v>
      </c>
      <c r="K34" s="36">
        <f t="shared" si="5"/>
        <v>-187.25</v>
      </c>
      <c r="L34" s="251"/>
      <c r="M34" s="252"/>
      <c r="N34" s="252"/>
      <c r="O34" s="252"/>
      <c r="P34" s="253"/>
      <c r="Q34" s="89"/>
      <c r="R34" s="165"/>
      <c r="S34" s="76"/>
      <c r="T34" s="76"/>
      <c r="U34" s="76"/>
      <c r="V34" s="76"/>
      <c r="W34" s="76"/>
      <c r="X34" s="76"/>
      <c r="Y34" s="76"/>
      <c r="Z34" s="76"/>
      <c r="AA34" s="68"/>
      <c r="AB34" s="166"/>
      <c r="AC34" s="6"/>
      <c r="AD34" s="95"/>
      <c r="AE34" s="99"/>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row>
    <row r="35" spans="1:252" s="96" customFormat="1" ht="20.25" customHeight="1">
      <c r="A35" s="32" t="str">
        <f t="shared" si="0"/>
        <v>Dienstag</v>
      </c>
      <c r="B35" s="37">
        <f t="shared" si="2"/>
        <v>43053</v>
      </c>
      <c r="C35" s="185" t="str">
        <f>IF(OR(A35="Samstag",A35="Sonntag"),"",IF(COUNTIF(Übersicht!C$16:C$30,B35)&gt;0,"BA",""))</f>
        <v/>
      </c>
      <c r="D35" s="38"/>
      <c r="E35" s="172">
        <f t="shared" si="4"/>
        <v>2</v>
      </c>
      <c r="F35" s="176"/>
      <c r="G35" s="177"/>
      <c r="H35" s="178"/>
      <c r="I35" s="38">
        <f t="shared" si="1"/>
        <v>0</v>
      </c>
      <c r="J35" s="35">
        <f t="shared" si="3"/>
        <v>-2</v>
      </c>
      <c r="K35" s="36">
        <f t="shared" si="5"/>
        <v>-189.25</v>
      </c>
      <c r="L35" s="251"/>
      <c r="M35" s="252"/>
      <c r="N35" s="252"/>
      <c r="O35" s="252"/>
      <c r="P35" s="253"/>
      <c r="Q35" s="89"/>
      <c r="R35" s="165"/>
      <c r="S35" s="76"/>
      <c r="T35" s="76"/>
      <c r="U35" s="76"/>
      <c r="V35" s="76"/>
      <c r="W35" s="76"/>
      <c r="X35" s="76"/>
      <c r="Y35" s="76"/>
      <c r="Z35" s="76"/>
      <c r="AA35" s="68"/>
      <c r="AB35" s="166"/>
      <c r="AC35" s="6"/>
      <c r="AD35" s="95"/>
      <c r="AE35" s="99"/>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row>
    <row r="36" spans="1:252" s="96" customFormat="1" ht="20.25" customHeight="1">
      <c r="A36" s="32" t="str">
        <f t="shared" si="0"/>
        <v>Mittwoch</v>
      </c>
      <c r="B36" s="37">
        <f t="shared" si="2"/>
        <v>43054</v>
      </c>
      <c r="C36" s="185" t="str">
        <f>IF(OR(A36="Samstag",A36="Sonntag"),"",IF(COUNTIF(Übersicht!C$16:C$30,B36)&gt;0,"BA",""))</f>
        <v/>
      </c>
      <c r="D36" s="38"/>
      <c r="E36" s="172">
        <f t="shared" si="4"/>
        <v>2</v>
      </c>
      <c r="F36" s="176"/>
      <c r="G36" s="177"/>
      <c r="H36" s="178"/>
      <c r="I36" s="38">
        <f t="shared" si="1"/>
        <v>0</v>
      </c>
      <c r="J36" s="35">
        <f t="shared" si="3"/>
        <v>-2</v>
      </c>
      <c r="K36" s="36">
        <f t="shared" si="5"/>
        <v>-191.25</v>
      </c>
      <c r="L36" s="251"/>
      <c r="M36" s="252"/>
      <c r="N36" s="252"/>
      <c r="O36" s="252"/>
      <c r="P36" s="253"/>
      <c r="Q36" s="89"/>
      <c r="R36" s="165"/>
      <c r="S36" s="76"/>
      <c r="T36" s="76"/>
      <c r="U36" s="76"/>
      <c r="V36" s="76"/>
      <c r="W36" s="76"/>
      <c r="X36" s="76"/>
      <c r="Y36" s="76"/>
      <c r="Z36" s="76"/>
      <c r="AA36" s="68"/>
      <c r="AB36" s="166"/>
      <c r="AC36" s="6"/>
      <c r="AD36" s="95"/>
      <c r="AE36" s="99"/>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row>
    <row r="37" spans="1:252" s="96" customFormat="1" ht="20.25" customHeight="1">
      <c r="A37" s="32" t="str">
        <f t="shared" si="0"/>
        <v>Donnerstag</v>
      </c>
      <c r="B37" s="37">
        <f t="shared" si="2"/>
        <v>43055</v>
      </c>
      <c r="C37" s="185" t="str">
        <f>IF(OR(A37="Samstag",A37="Sonntag"),"",IF(COUNTIF(Übersicht!C$16:C$30,B37)&gt;0,"BA",""))</f>
        <v/>
      </c>
      <c r="D37" s="38"/>
      <c r="E37" s="172">
        <f t="shared" si="4"/>
        <v>2</v>
      </c>
      <c r="F37" s="176"/>
      <c r="G37" s="177"/>
      <c r="H37" s="178"/>
      <c r="I37" s="38">
        <f t="shared" si="1"/>
        <v>0</v>
      </c>
      <c r="J37" s="35">
        <f t="shared" si="3"/>
        <v>-2</v>
      </c>
      <c r="K37" s="36">
        <f t="shared" si="5"/>
        <v>-193.25</v>
      </c>
      <c r="L37" s="251"/>
      <c r="M37" s="252"/>
      <c r="N37" s="252"/>
      <c r="O37" s="252"/>
      <c r="P37" s="253"/>
      <c r="Q37" s="89"/>
      <c r="R37" s="165"/>
      <c r="S37" s="76"/>
      <c r="T37" s="76"/>
      <c r="U37" s="76"/>
      <c r="V37" s="76"/>
      <c r="W37" s="76"/>
      <c r="X37" s="76"/>
      <c r="Y37" s="76"/>
      <c r="Z37" s="76"/>
      <c r="AA37" s="68"/>
      <c r="AB37" s="166"/>
      <c r="AC37" s="6"/>
      <c r="AD37" s="95"/>
      <c r="AE37" s="99"/>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row>
    <row r="38" spans="1:252" s="96" customFormat="1" ht="20.25" customHeight="1">
      <c r="A38" s="32" t="str">
        <f t="shared" si="0"/>
        <v>Freitag</v>
      </c>
      <c r="B38" s="37">
        <f t="shared" si="2"/>
        <v>43056</v>
      </c>
      <c r="C38" s="185" t="str">
        <f>IF(OR(A38="Samstag",A38="Sonntag"),"",IF(COUNTIF(Übersicht!C$16:C$30,B38)&gt;0,"BA",""))</f>
        <v/>
      </c>
      <c r="D38" s="38"/>
      <c r="E38" s="172">
        <f t="shared" si="4"/>
        <v>2</v>
      </c>
      <c r="F38" s="176"/>
      <c r="G38" s="177"/>
      <c r="H38" s="178"/>
      <c r="I38" s="38">
        <f t="shared" si="1"/>
        <v>0</v>
      </c>
      <c r="J38" s="35">
        <f t="shared" si="3"/>
        <v>-2</v>
      </c>
      <c r="K38" s="36">
        <f t="shared" si="5"/>
        <v>-195.25</v>
      </c>
      <c r="L38" s="251"/>
      <c r="M38" s="252"/>
      <c r="N38" s="252"/>
      <c r="O38" s="252"/>
      <c r="P38" s="253"/>
      <c r="Q38" s="89"/>
      <c r="R38" s="165"/>
      <c r="S38" s="76"/>
      <c r="T38" s="76"/>
      <c r="U38" s="76"/>
      <c r="V38" s="76"/>
      <c r="W38" s="76"/>
      <c r="X38" s="76"/>
      <c r="Y38" s="76"/>
      <c r="Z38" s="76"/>
      <c r="AA38" s="68"/>
      <c r="AB38" s="166"/>
      <c r="AC38" s="6"/>
      <c r="AD38" s="95"/>
      <c r="AE38" s="99"/>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row>
    <row r="39" spans="1:252" s="96" customFormat="1" ht="20.25" customHeight="1">
      <c r="A39" s="32" t="str">
        <f t="shared" si="0"/>
        <v>Samstag</v>
      </c>
      <c r="B39" s="37">
        <f t="shared" si="2"/>
        <v>43057</v>
      </c>
      <c r="C39" s="185" t="str">
        <f>IF(OR(A39="Samstag",A39="Sonntag"),"",IF(COUNTIF(Übersicht!C$16:C$30,B39)&gt;0,"BA",""))</f>
        <v/>
      </c>
      <c r="D39" s="38"/>
      <c r="E39" s="172" t="str">
        <f t="shared" si="4"/>
        <v/>
      </c>
      <c r="F39" s="176"/>
      <c r="G39" s="177"/>
      <c r="H39" s="178"/>
      <c r="I39" s="38">
        <f t="shared" si="1"/>
        <v>0</v>
      </c>
      <c r="J39" s="35">
        <f t="shared" si="3"/>
        <v>0</v>
      </c>
      <c r="K39" s="36">
        <f t="shared" si="5"/>
        <v>-195.25</v>
      </c>
      <c r="L39" s="251"/>
      <c r="M39" s="252"/>
      <c r="N39" s="252"/>
      <c r="O39" s="252"/>
      <c r="P39" s="253"/>
      <c r="Q39" s="89"/>
      <c r="R39" s="165"/>
      <c r="S39" s="76"/>
      <c r="T39" s="76"/>
      <c r="U39" s="76"/>
      <c r="V39" s="76"/>
      <c r="W39" s="76"/>
      <c r="X39" s="76"/>
      <c r="Y39" s="76"/>
      <c r="Z39" s="76"/>
      <c r="AA39" s="68"/>
      <c r="AB39" s="166"/>
      <c r="AC39" s="6"/>
      <c r="AD39" s="95"/>
      <c r="AE39" s="99"/>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row>
    <row r="40" spans="1:252" s="96" customFormat="1" ht="20.25" customHeight="1">
      <c r="A40" s="32" t="str">
        <f t="shared" si="0"/>
        <v>Sonntag</v>
      </c>
      <c r="B40" s="37">
        <f t="shared" si="2"/>
        <v>43058</v>
      </c>
      <c r="C40" s="185" t="str">
        <f>IF(OR(A40="Samstag",A40="Sonntag"),"",IF(COUNTIF(Übersicht!C$16:C$30,B40)&gt;0,"BA",""))</f>
        <v/>
      </c>
      <c r="D40" s="38"/>
      <c r="E40" s="172" t="str">
        <f t="shared" si="4"/>
        <v/>
      </c>
      <c r="F40" s="176"/>
      <c r="G40" s="177"/>
      <c r="H40" s="178"/>
      <c r="I40" s="38">
        <f t="shared" si="1"/>
        <v>0</v>
      </c>
      <c r="J40" s="35">
        <f t="shared" si="3"/>
        <v>0</v>
      </c>
      <c r="K40" s="36">
        <f t="shared" si="5"/>
        <v>-195.25</v>
      </c>
      <c r="L40" s="251"/>
      <c r="M40" s="252"/>
      <c r="N40" s="252"/>
      <c r="O40" s="252"/>
      <c r="P40" s="253"/>
      <c r="Q40" s="89"/>
      <c r="R40" s="165"/>
      <c r="S40" s="76"/>
      <c r="T40" s="76"/>
      <c r="U40" s="76"/>
      <c r="V40" s="76"/>
      <c r="W40" s="76"/>
      <c r="X40" s="76"/>
      <c r="Y40" s="76"/>
      <c r="Z40" s="76"/>
      <c r="AA40" s="68"/>
      <c r="AB40" s="166"/>
      <c r="AC40" s="6"/>
      <c r="AD40" s="95"/>
      <c r="AE40" s="99"/>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row>
    <row r="41" spans="1:252" s="96" customFormat="1" ht="20.25" customHeight="1">
      <c r="A41" s="32" t="str">
        <f t="shared" si="0"/>
        <v>Montag</v>
      </c>
      <c r="B41" s="37">
        <f t="shared" si="2"/>
        <v>43059</v>
      </c>
      <c r="C41" s="185" t="str">
        <f>IF(OR(A41="Samstag",A41="Sonntag"),"",IF(COUNTIF(Übersicht!C$16:C$30,B41)&gt;0,"BA",""))</f>
        <v/>
      </c>
      <c r="D41" s="38"/>
      <c r="E41" s="172">
        <f t="shared" si="4"/>
        <v>2</v>
      </c>
      <c r="F41" s="176"/>
      <c r="G41" s="177"/>
      <c r="H41" s="178"/>
      <c r="I41" s="38">
        <f t="shared" si="1"/>
        <v>0</v>
      </c>
      <c r="J41" s="35">
        <f t="shared" si="3"/>
        <v>-2</v>
      </c>
      <c r="K41" s="36">
        <f t="shared" si="5"/>
        <v>-197.25</v>
      </c>
      <c r="L41" s="251"/>
      <c r="M41" s="252"/>
      <c r="N41" s="252"/>
      <c r="O41" s="252"/>
      <c r="P41" s="253"/>
      <c r="Q41" s="89"/>
      <c r="R41" s="165"/>
      <c r="S41" s="76"/>
      <c r="T41" s="76"/>
      <c r="U41" s="76"/>
      <c r="V41" s="76"/>
      <c r="W41" s="76"/>
      <c r="X41" s="76"/>
      <c r="Y41" s="76"/>
      <c r="Z41" s="76"/>
      <c r="AA41" s="68"/>
      <c r="AB41" s="166"/>
      <c r="AC41" s="6"/>
      <c r="AD41" s="95"/>
      <c r="AE41" s="99"/>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row>
    <row r="42" spans="1:252" s="96" customFormat="1" ht="20.25" customHeight="1">
      <c r="A42" s="32" t="str">
        <f t="shared" si="0"/>
        <v>Dienstag</v>
      </c>
      <c r="B42" s="37">
        <f t="shared" si="2"/>
        <v>43060</v>
      </c>
      <c r="C42" s="185" t="str">
        <f>IF(OR(A42="Samstag",A42="Sonntag"),"",IF(COUNTIF(Übersicht!C$16:C$30,B42)&gt;0,"BA",""))</f>
        <v/>
      </c>
      <c r="D42" s="38"/>
      <c r="E42" s="172">
        <f t="shared" si="4"/>
        <v>2</v>
      </c>
      <c r="F42" s="176"/>
      <c r="G42" s="177"/>
      <c r="H42" s="178"/>
      <c r="I42" s="38">
        <f t="shared" si="1"/>
        <v>0</v>
      </c>
      <c r="J42" s="35">
        <f t="shared" si="3"/>
        <v>-2</v>
      </c>
      <c r="K42" s="36">
        <f t="shared" si="5"/>
        <v>-199.25</v>
      </c>
      <c r="L42" s="251"/>
      <c r="M42" s="252"/>
      <c r="N42" s="252"/>
      <c r="O42" s="252"/>
      <c r="P42" s="253"/>
      <c r="Q42" s="89"/>
      <c r="R42" s="165"/>
      <c r="S42" s="76"/>
      <c r="T42" s="76"/>
      <c r="U42" s="76"/>
      <c r="V42" s="76"/>
      <c r="W42" s="76"/>
      <c r="X42" s="76"/>
      <c r="Y42" s="76"/>
      <c r="Z42" s="76"/>
      <c r="AA42" s="68"/>
      <c r="AB42" s="166"/>
      <c r="AC42" s="6"/>
      <c r="AD42" s="95"/>
      <c r="AE42" s="99"/>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row>
    <row r="43" spans="1:252" s="96" customFormat="1" ht="20.25" customHeight="1">
      <c r="A43" s="32" t="str">
        <f t="shared" si="0"/>
        <v>Mittwoch</v>
      </c>
      <c r="B43" s="37">
        <f t="shared" si="2"/>
        <v>43061</v>
      </c>
      <c r="C43" s="185" t="str">
        <f>IF(OR(A43="Samstag",A43="Sonntag"),"",IF(COUNTIF(Übersicht!C$16:C$30,B43)&gt;0,"BA",""))</f>
        <v/>
      </c>
      <c r="D43" s="38"/>
      <c r="E43" s="172">
        <f t="shared" si="4"/>
        <v>2</v>
      </c>
      <c r="F43" s="176"/>
      <c r="G43" s="177"/>
      <c r="H43" s="178"/>
      <c r="I43" s="38">
        <f t="shared" si="1"/>
        <v>0</v>
      </c>
      <c r="J43" s="35">
        <f t="shared" si="3"/>
        <v>-2</v>
      </c>
      <c r="K43" s="36">
        <f t="shared" si="5"/>
        <v>-201.25</v>
      </c>
      <c r="L43" s="251"/>
      <c r="M43" s="252"/>
      <c r="N43" s="252"/>
      <c r="O43" s="252"/>
      <c r="P43" s="253"/>
      <c r="Q43" s="89"/>
      <c r="R43" s="165"/>
      <c r="S43" s="76"/>
      <c r="T43" s="76"/>
      <c r="U43" s="76"/>
      <c r="V43" s="76"/>
      <c r="W43" s="76"/>
      <c r="X43" s="76"/>
      <c r="Y43" s="76"/>
      <c r="Z43" s="76"/>
      <c r="AA43" s="68"/>
      <c r="AB43" s="166"/>
      <c r="AC43" s="6"/>
      <c r="AD43" s="95"/>
      <c r="AE43" s="99"/>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row>
    <row r="44" spans="1:252" s="96" customFormat="1" ht="20.25" customHeight="1">
      <c r="A44" s="32" t="str">
        <f t="shared" si="0"/>
        <v>Donnerstag</v>
      </c>
      <c r="B44" s="37">
        <f t="shared" si="2"/>
        <v>43062</v>
      </c>
      <c r="C44" s="185" t="str">
        <f>IF(OR(A44="Samstag",A44="Sonntag"),"",IF(COUNTIF(Übersicht!C$16:C$30,B44)&gt;0,"BA",""))</f>
        <v/>
      </c>
      <c r="D44" s="38"/>
      <c r="E44" s="172">
        <f t="shared" si="4"/>
        <v>2</v>
      </c>
      <c r="F44" s="176"/>
      <c r="G44" s="177"/>
      <c r="H44" s="178"/>
      <c r="I44" s="38">
        <f t="shared" si="1"/>
        <v>0</v>
      </c>
      <c r="J44" s="35">
        <f t="shared" si="3"/>
        <v>-2</v>
      </c>
      <c r="K44" s="36">
        <f t="shared" si="5"/>
        <v>-203.25</v>
      </c>
      <c r="L44" s="251"/>
      <c r="M44" s="252"/>
      <c r="N44" s="252"/>
      <c r="O44" s="252"/>
      <c r="P44" s="253"/>
      <c r="Q44" s="89"/>
      <c r="R44" s="165"/>
      <c r="S44" s="76"/>
      <c r="T44" s="76"/>
      <c r="U44" s="76"/>
      <c r="V44" s="76"/>
      <c r="W44" s="76"/>
      <c r="X44" s="76"/>
      <c r="Y44" s="76"/>
      <c r="Z44" s="76"/>
      <c r="AA44" s="68"/>
      <c r="AB44" s="166"/>
      <c r="AC44" s="6"/>
      <c r="AD44" s="95"/>
      <c r="AE44" s="99"/>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row>
    <row r="45" spans="1:252" s="96" customFormat="1" ht="20.25" customHeight="1">
      <c r="A45" s="32" t="str">
        <f t="shared" si="0"/>
        <v>Freitag</v>
      </c>
      <c r="B45" s="37">
        <f t="shared" si="2"/>
        <v>43063</v>
      </c>
      <c r="C45" s="185" t="str">
        <f>IF(OR(A45="Samstag",A45="Sonntag"),"",IF(COUNTIF(Übersicht!C$16:C$30,B45)&gt;0,"BA",""))</f>
        <v/>
      </c>
      <c r="D45" s="38"/>
      <c r="E45" s="172">
        <f t="shared" si="4"/>
        <v>2</v>
      </c>
      <c r="F45" s="176"/>
      <c r="G45" s="177"/>
      <c r="H45" s="178"/>
      <c r="I45" s="38">
        <f t="shared" si="1"/>
        <v>0</v>
      </c>
      <c r="J45" s="35">
        <f t="shared" si="3"/>
        <v>-2</v>
      </c>
      <c r="K45" s="36">
        <f t="shared" si="5"/>
        <v>-205.25</v>
      </c>
      <c r="L45" s="251"/>
      <c r="M45" s="252"/>
      <c r="N45" s="252"/>
      <c r="O45" s="252"/>
      <c r="P45" s="253"/>
      <c r="Q45" s="89"/>
      <c r="R45" s="165"/>
      <c r="S45" s="76"/>
      <c r="T45" s="76"/>
      <c r="U45" s="76"/>
      <c r="V45" s="76"/>
      <c r="W45" s="76"/>
      <c r="X45" s="76"/>
      <c r="Y45" s="76"/>
      <c r="Z45" s="76"/>
      <c r="AA45" s="68"/>
      <c r="AB45" s="166"/>
      <c r="AC45" s="6"/>
      <c r="AD45" s="95"/>
      <c r="AE45" s="99"/>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row>
    <row r="46" spans="1:252" s="96" customFormat="1" ht="20.25" customHeight="1">
      <c r="A46" s="32" t="str">
        <f t="shared" si="0"/>
        <v>Samstag</v>
      </c>
      <c r="B46" s="37">
        <f t="shared" si="2"/>
        <v>43064</v>
      </c>
      <c r="C46" s="185" t="str">
        <f>IF(OR(A46="Samstag",A46="Sonntag"),"",IF(COUNTIF(Übersicht!C$16:C$30,B46)&gt;0,"BA",""))</f>
        <v/>
      </c>
      <c r="D46" s="38"/>
      <c r="E46" s="172" t="str">
        <f t="shared" si="4"/>
        <v/>
      </c>
      <c r="F46" s="176"/>
      <c r="G46" s="177"/>
      <c r="H46" s="178"/>
      <c r="I46" s="38">
        <f t="shared" si="1"/>
        <v>0</v>
      </c>
      <c r="J46" s="35">
        <f t="shared" si="3"/>
        <v>0</v>
      </c>
      <c r="K46" s="36">
        <f t="shared" si="5"/>
        <v>-205.25</v>
      </c>
      <c r="L46" s="251"/>
      <c r="M46" s="252"/>
      <c r="N46" s="252"/>
      <c r="O46" s="252"/>
      <c r="P46" s="253"/>
      <c r="Q46" s="89"/>
      <c r="R46" s="165"/>
      <c r="S46" s="76"/>
      <c r="T46" s="76"/>
      <c r="U46" s="76"/>
      <c r="V46" s="76"/>
      <c r="W46" s="76"/>
      <c r="X46" s="76"/>
      <c r="Y46" s="76"/>
      <c r="Z46" s="76"/>
      <c r="AA46" s="68"/>
      <c r="AB46" s="166"/>
      <c r="AC46" s="6"/>
      <c r="AD46" s="95"/>
      <c r="AE46" s="99"/>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row>
    <row r="47" spans="1:252" s="96" customFormat="1" ht="20.25" customHeight="1">
      <c r="A47" s="32" t="str">
        <f t="shared" si="0"/>
        <v>Sonntag</v>
      </c>
      <c r="B47" s="37">
        <f t="shared" si="2"/>
        <v>43065</v>
      </c>
      <c r="C47" s="185" t="str">
        <f>IF(OR(A47="Samstag",A47="Sonntag"),"",IF(COUNTIF(Übersicht!C$16:C$30,B47)&gt;0,"BA",""))</f>
        <v/>
      </c>
      <c r="D47" s="38"/>
      <c r="E47" s="172" t="str">
        <f t="shared" si="4"/>
        <v/>
      </c>
      <c r="F47" s="176"/>
      <c r="G47" s="177"/>
      <c r="H47" s="178"/>
      <c r="I47" s="38">
        <f t="shared" si="1"/>
        <v>0</v>
      </c>
      <c r="J47" s="35">
        <f t="shared" si="3"/>
        <v>0</v>
      </c>
      <c r="K47" s="36">
        <f t="shared" si="5"/>
        <v>-205.25</v>
      </c>
      <c r="L47" s="251"/>
      <c r="M47" s="252"/>
      <c r="N47" s="252"/>
      <c r="O47" s="252"/>
      <c r="P47" s="253"/>
      <c r="Q47" s="89"/>
      <c r="R47" s="165"/>
      <c r="S47" s="76"/>
      <c r="T47" s="76"/>
      <c r="U47" s="76"/>
      <c r="V47" s="76"/>
      <c r="W47" s="76"/>
      <c r="X47" s="76"/>
      <c r="Y47" s="76"/>
      <c r="Z47" s="76"/>
      <c r="AA47" s="68"/>
      <c r="AB47" s="166"/>
      <c r="AC47" s="6"/>
      <c r="AD47" s="95"/>
      <c r="AE47" s="99"/>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row>
    <row r="48" spans="1:252" s="96" customFormat="1" ht="20.25" customHeight="1">
      <c r="A48" s="32" t="str">
        <f t="shared" si="0"/>
        <v>Montag</v>
      </c>
      <c r="B48" s="37">
        <f t="shared" si="2"/>
        <v>43066</v>
      </c>
      <c r="C48" s="185" t="str">
        <f>IF(OR(A48="Samstag",A48="Sonntag"),"",IF(COUNTIF(Übersicht!C$16:C$30,B48)&gt;0,"BA",""))</f>
        <v/>
      </c>
      <c r="D48" s="38"/>
      <c r="E48" s="172">
        <f t="shared" si="4"/>
        <v>2</v>
      </c>
      <c r="F48" s="176"/>
      <c r="G48" s="177"/>
      <c r="H48" s="178"/>
      <c r="I48" s="38">
        <f t="shared" si="1"/>
        <v>0</v>
      </c>
      <c r="J48" s="35">
        <f t="shared" si="3"/>
        <v>-2</v>
      </c>
      <c r="K48" s="36">
        <f t="shared" si="5"/>
        <v>-207.25</v>
      </c>
      <c r="L48" s="251"/>
      <c r="M48" s="252"/>
      <c r="N48" s="252"/>
      <c r="O48" s="252"/>
      <c r="P48" s="253"/>
      <c r="Q48" s="89"/>
      <c r="R48" s="165"/>
      <c r="S48" s="76"/>
      <c r="T48" s="76"/>
      <c r="U48" s="76"/>
      <c r="V48" s="76"/>
      <c r="W48" s="76"/>
      <c r="X48" s="76"/>
      <c r="Y48" s="76"/>
      <c r="Z48" s="76"/>
      <c r="AA48" s="68"/>
      <c r="AB48" s="166"/>
      <c r="AC48" s="6"/>
      <c r="AD48" s="95"/>
      <c r="AE48" s="99"/>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row>
    <row r="49" spans="1:252" s="96" customFormat="1" ht="20.25" customHeight="1">
      <c r="A49" s="32" t="str">
        <f t="shared" si="0"/>
        <v>Dienstag</v>
      </c>
      <c r="B49" s="37">
        <f t="shared" si="2"/>
        <v>43067</v>
      </c>
      <c r="C49" s="185" t="str">
        <f>IF(OR(A49="Samstag",A49="Sonntag"),"",IF(COUNTIF(Übersicht!C$16:C$30,B49)&gt;0,"BA",""))</f>
        <v/>
      </c>
      <c r="D49" s="38"/>
      <c r="E49" s="172">
        <f t="shared" si="4"/>
        <v>2</v>
      </c>
      <c r="F49" s="176"/>
      <c r="G49" s="177"/>
      <c r="H49" s="178"/>
      <c r="I49" s="38">
        <f t="shared" si="1"/>
        <v>0</v>
      </c>
      <c r="J49" s="35">
        <f t="shared" si="3"/>
        <v>-2</v>
      </c>
      <c r="K49" s="36">
        <f t="shared" si="5"/>
        <v>-209.25</v>
      </c>
      <c r="L49" s="251"/>
      <c r="M49" s="252"/>
      <c r="N49" s="252"/>
      <c r="O49" s="252"/>
      <c r="P49" s="253"/>
      <c r="Q49" s="89"/>
      <c r="R49" s="165"/>
      <c r="S49" s="76"/>
      <c r="T49" s="76"/>
      <c r="U49" s="76"/>
      <c r="V49" s="76"/>
      <c r="W49" s="76"/>
      <c r="X49" s="76"/>
      <c r="Y49" s="76"/>
      <c r="Z49" s="76"/>
      <c r="AA49" s="68"/>
      <c r="AB49" s="166"/>
      <c r="AC49" s="6"/>
      <c r="AD49" s="95"/>
      <c r="AE49" s="99"/>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row>
    <row r="50" spans="1:252" s="96" customFormat="1" ht="20.25" customHeight="1">
      <c r="A50" s="32" t="str">
        <f t="shared" si="0"/>
        <v>Mittwoch</v>
      </c>
      <c r="B50" s="37">
        <f t="shared" si="2"/>
        <v>43068</v>
      </c>
      <c r="C50" s="185" t="str">
        <f>IF(OR(A50="Samstag",A50="Sonntag"),"",IF(COUNTIF(Übersicht!C$16:C$30,B50)&gt;0,"BA",""))</f>
        <v/>
      </c>
      <c r="D50" s="38"/>
      <c r="E50" s="172">
        <f t="shared" si="4"/>
        <v>2</v>
      </c>
      <c r="F50" s="176"/>
      <c r="G50" s="177"/>
      <c r="H50" s="178"/>
      <c r="I50" s="38">
        <f t="shared" si="1"/>
        <v>0</v>
      </c>
      <c r="J50" s="35">
        <f t="shared" si="3"/>
        <v>-2</v>
      </c>
      <c r="K50" s="36">
        <f t="shared" si="5"/>
        <v>-211.25</v>
      </c>
      <c r="L50" s="251"/>
      <c r="M50" s="252"/>
      <c r="N50" s="252"/>
      <c r="O50" s="252"/>
      <c r="P50" s="253"/>
      <c r="Q50" s="89"/>
      <c r="R50" s="165"/>
      <c r="S50" s="76"/>
      <c r="T50" s="76"/>
      <c r="U50" s="76"/>
      <c r="V50" s="76"/>
      <c r="W50" s="76"/>
      <c r="X50" s="76"/>
      <c r="Y50" s="76"/>
      <c r="Z50" s="76"/>
      <c r="AA50" s="68"/>
      <c r="AB50" s="166"/>
      <c r="AC50" s="6"/>
      <c r="AD50" s="95"/>
      <c r="AE50" s="99"/>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row>
    <row r="51" spans="1:252" s="96" customFormat="1" ht="20.25" customHeight="1">
      <c r="A51" s="32" t="str">
        <f t="shared" si="0"/>
        <v>Donnerstag</v>
      </c>
      <c r="B51" s="37">
        <f t="shared" si="2"/>
        <v>43069</v>
      </c>
      <c r="C51" s="185" t="str">
        <f>IF(OR(A51="Samstag",A51="Sonntag"),"",IF(COUNTIF(Übersicht!C$16:C$30,B51)&gt;0,"BA",""))</f>
        <v/>
      </c>
      <c r="D51" s="38"/>
      <c r="E51" s="172">
        <f t="shared" si="4"/>
        <v>2</v>
      </c>
      <c r="F51" s="176"/>
      <c r="G51" s="177"/>
      <c r="H51" s="178"/>
      <c r="I51" s="38">
        <f t="shared" si="1"/>
        <v>0</v>
      </c>
      <c r="J51" s="35">
        <f t="shared" si="3"/>
        <v>-2</v>
      </c>
      <c r="K51" s="36">
        <f t="shared" si="5"/>
        <v>-213.25</v>
      </c>
      <c r="L51" s="251"/>
      <c r="M51" s="252"/>
      <c r="N51" s="252"/>
      <c r="O51" s="252"/>
      <c r="P51" s="253"/>
      <c r="Q51" s="89"/>
      <c r="R51" s="165"/>
      <c r="S51" s="76"/>
      <c r="T51" s="76"/>
      <c r="U51" s="76"/>
      <c r="V51" s="76"/>
      <c r="W51" s="76"/>
      <c r="X51" s="76"/>
      <c r="Y51" s="76"/>
      <c r="Z51" s="76"/>
      <c r="AA51" s="68"/>
      <c r="AB51" s="166"/>
      <c r="AC51" s="6"/>
      <c r="AD51" s="95"/>
      <c r="AE51" s="99"/>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row>
    <row r="52" spans="1:252" s="96" customFormat="1" ht="20.25" customHeight="1" thickBot="1">
      <c r="A52" s="32" t="str">
        <f t="shared" si="0"/>
        <v>Samstag</v>
      </c>
      <c r="B52" s="37">
        <f t="shared" si="2"/>
        <v>0</v>
      </c>
      <c r="C52" s="185" t="str">
        <f>IF(OR(A52="Samstag",A52="Sonntag"),"",IF(COUNTIF(Übersicht!C$16:C$30,B52)&gt;0,"BA",""))</f>
        <v/>
      </c>
      <c r="D52" s="39"/>
      <c r="E52" s="172" t="str">
        <f t="shared" si="4"/>
        <v/>
      </c>
      <c r="F52" s="198"/>
      <c r="G52" s="199"/>
      <c r="H52" s="200"/>
      <c r="I52" s="38">
        <f t="shared" si="1"/>
        <v>0</v>
      </c>
      <c r="J52" s="35">
        <f t="shared" si="3"/>
        <v>0</v>
      </c>
      <c r="K52" s="40">
        <f t="shared" si="5"/>
        <v>-213.25</v>
      </c>
      <c r="L52" s="282"/>
      <c r="M52" s="283"/>
      <c r="N52" s="283"/>
      <c r="O52" s="283"/>
      <c r="P52" s="284"/>
      <c r="Q52" s="89"/>
      <c r="R52" s="165"/>
      <c r="S52" s="77"/>
      <c r="T52" s="77"/>
      <c r="U52" s="77"/>
      <c r="V52" s="77"/>
      <c r="W52" s="77"/>
      <c r="X52" s="77"/>
      <c r="Y52" s="77"/>
      <c r="Z52" s="78"/>
      <c r="AA52" s="68"/>
      <c r="AB52" s="166"/>
      <c r="AC52" s="6"/>
      <c r="AD52" s="95"/>
      <c r="AE52" s="99"/>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row>
    <row r="53" spans="1:252" s="96" customFormat="1" ht="18.75" customHeight="1">
      <c r="A53" s="6"/>
      <c r="B53" s="41" t="s">
        <v>26</v>
      </c>
      <c r="C53" s="42"/>
      <c r="D53" s="43"/>
      <c r="E53" s="43" t="s">
        <v>11</v>
      </c>
      <c r="F53" s="44"/>
      <c r="G53" s="44"/>
      <c r="H53" s="44"/>
      <c r="I53" s="43" t="s">
        <v>20</v>
      </c>
      <c r="J53" s="43" t="s">
        <v>28</v>
      </c>
      <c r="K53" s="43" t="s">
        <v>27</v>
      </c>
      <c r="L53" s="45"/>
      <c r="M53" s="45"/>
      <c r="N53" s="45"/>
      <c r="O53" s="45"/>
      <c r="P53" s="46"/>
      <c r="Q53" s="160"/>
      <c r="R53" s="160"/>
      <c r="S53" s="76"/>
      <c r="T53" s="183"/>
      <c r="U53" s="79"/>
      <c r="V53" s="6"/>
      <c r="W53" s="78"/>
      <c r="X53" s="76"/>
      <c r="Y53" s="80"/>
      <c r="Z53" s="80"/>
      <c r="AA53" s="68"/>
      <c r="AB53" s="68"/>
      <c r="AC53" s="6"/>
      <c r="AD53" s="95"/>
      <c r="AE53" s="99"/>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row>
    <row r="54" spans="1:252" s="96" customFormat="1" ht="18.75" customHeight="1">
      <c r="A54" s="6"/>
      <c r="B54" s="47"/>
      <c r="C54" s="48"/>
      <c r="D54" s="49"/>
      <c r="E54" s="50">
        <f>SUM(E22:E52)</f>
        <v>42</v>
      </c>
      <c r="F54" s="51"/>
      <c r="G54" s="52"/>
      <c r="H54" s="49"/>
      <c r="I54" s="50">
        <f>SUM(I22:I52)</f>
        <v>0</v>
      </c>
      <c r="J54" s="50">
        <f>SUM(J22:J52)</f>
        <v>-42</v>
      </c>
      <c r="K54" s="50">
        <f>K52</f>
        <v>-213.25</v>
      </c>
      <c r="L54" s="91"/>
      <c r="M54" s="91"/>
      <c r="N54" s="91"/>
      <c r="O54" s="91"/>
      <c r="P54" s="53"/>
      <c r="Q54" s="161"/>
      <c r="R54" s="161"/>
      <c r="S54" s="81"/>
      <c r="T54" s="82"/>
      <c r="U54" s="82"/>
      <c r="V54" s="6"/>
      <c r="W54" s="81"/>
      <c r="X54" s="81"/>
      <c r="Y54" s="6"/>
      <c r="Z54" s="6"/>
      <c r="AA54" s="68"/>
      <c r="AB54" s="68"/>
      <c r="AC54" s="6"/>
      <c r="AD54" s="95"/>
      <c r="AE54" s="99"/>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row>
    <row r="55" spans="1:252" s="96" customFormat="1" ht="15">
      <c r="A55" s="6"/>
      <c r="B55" s="54"/>
      <c r="C55" s="54"/>
      <c r="D55" s="54"/>
      <c r="E55" s="54"/>
      <c r="F55" s="55"/>
      <c r="G55" s="56"/>
      <c r="H55" s="100"/>
      <c r="I55" s="6"/>
      <c r="J55" s="101"/>
      <c r="K55" s="257" t="str">
        <f>IF($E$54*1.5&lt;IF($M$7&lt;0,$I$54+$M$7,$I$54),"Überschreitung der zulässigen Monatsarbeitszeit um &gt;50%","")</f>
        <v/>
      </c>
      <c r="L55" s="257"/>
      <c r="M55" s="257"/>
      <c r="N55" s="257"/>
      <c r="O55" s="257"/>
      <c r="P55" s="60"/>
      <c r="Q55" s="162"/>
      <c r="R55" s="162"/>
      <c r="S55" s="83"/>
      <c r="T55" s="83"/>
      <c r="U55" s="83"/>
      <c r="V55" s="6"/>
      <c r="W55" s="6"/>
      <c r="X55" s="76"/>
      <c r="Y55" s="6"/>
      <c r="Z55" s="6"/>
      <c r="AA55" s="68"/>
      <c r="AB55" s="68"/>
      <c r="AC55" s="6"/>
      <c r="AD55" s="95"/>
      <c r="AE55" s="99"/>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row>
    <row r="56" spans="1:252" s="96" customFormat="1" ht="15">
      <c r="A56" s="6"/>
      <c r="B56" s="54"/>
      <c r="C56" s="54"/>
      <c r="D56" s="54"/>
      <c r="E56" s="54"/>
      <c r="F56" s="55"/>
      <c r="G56" s="56"/>
      <c r="H56" s="102"/>
      <c r="I56" s="101"/>
      <c r="J56" s="101"/>
      <c r="K56" s="58"/>
      <c r="L56" s="59"/>
      <c r="M56" s="59"/>
      <c r="N56" s="59"/>
      <c r="O56" s="59"/>
      <c r="P56" s="60"/>
      <c r="Q56" s="162"/>
      <c r="R56" s="162"/>
      <c r="S56" s="83"/>
      <c r="T56" s="83"/>
      <c r="U56" s="83"/>
      <c r="V56" s="6"/>
      <c r="W56" s="6"/>
      <c r="X56" s="81"/>
      <c r="Y56" s="6"/>
      <c r="Z56" s="6"/>
      <c r="AA56" s="68"/>
      <c r="AB56" s="68"/>
      <c r="AC56" s="6"/>
      <c r="AD56" s="95"/>
      <c r="AE56" s="99"/>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row>
    <row r="57" spans="1:252" s="96" customFormat="1" ht="15">
      <c r="A57" s="6"/>
      <c r="B57" s="61"/>
      <c r="C57" s="61"/>
      <c r="D57" s="61"/>
      <c r="E57" s="61"/>
      <c r="F57" s="61"/>
      <c r="G57" s="61"/>
      <c r="H57" s="62"/>
      <c r="I57" s="6"/>
      <c r="J57" s="6"/>
      <c r="K57" s="6" t="s">
        <v>75</v>
      </c>
      <c r="L57" s="6"/>
      <c r="M57" s="6"/>
      <c r="N57" s="6"/>
      <c r="O57" s="57"/>
      <c r="P57" s="24"/>
      <c r="Q57" s="156"/>
      <c r="R57" s="156"/>
      <c r="S57" s="6"/>
      <c r="T57" s="6"/>
      <c r="U57" s="6"/>
      <c r="V57" s="6"/>
      <c r="W57" s="6"/>
      <c r="X57" s="6"/>
      <c r="Y57" s="6"/>
      <c r="Z57" s="6"/>
      <c r="AA57" s="68"/>
      <c r="AB57" s="68"/>
      <c r="AC57" s="6"/>
      <c r="AD57" s="95"/>
      <c r="AE57" s="99"/>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row>
    <row r="58" spans="1:252" s="96" customFormat="1" ht="15">
      <c r="A58" s="6"/>
      <c r="B58" s="62"/>
      <c r="C58" s="62"/>
      <c r="D58" s="62"/>
      <c r="E58" s="62"/>
      <c r="F58" s="62"/>
      <c r="G58" s="62"/>
      <c r="H58" s="32"/>
      <c r="I58" s="103"/>
      <c r="J58" s="68"/>
      <c r="K58" s="6" t="s">
        <v>76</v>
      </c>
      <c r="L58" s="206"/>
      <c r="M58" s="207"/>
      <c r="N58" s="207"/>
      <c r="O58" s="201"/>
      <c r="P58" s="63"/>
      <c r="Q58" s="163"/>
      <c r="R58" s="163"/>
      <c r="S58" s="84"/>
      <c r="T58" s="84"/>
      <c r="U58" s="84"/>
      <c r="V58" s="6"/>
      <c r="W58" s="6"/>
      <c r="X58" s="6"/>
      <c r="Y58" s="6"/>
      <c r="Z58" s="6"/>
      <c r="AA58" s="68"/>
      <c r="AB58" s="68"/>
      <c r="AC58" s="6"/>
      <c r="AD58" s="95"/>
      <c r="AE58" s="99"/>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row>
    <row r="59" spans="1:252" s="96" customFormat="1" ht="15">
      <c r="A59" s="6"/>
      <c r="B59" s="64"/>
      <c r="C59" s="64"/>
      <c r="D59" s="64"/>
      <c r="E59" s="64"/>
      <c r="F59" s="64"/>
      <c r="G59" s="62"/>
      <c r="H59" s="208"/>
      <c r="I59" s="208"/>
      <c r="J59" s="208"/>
      <c r="K59" s="65"/>
      <c r="L59" s="65"/>
      <c r="M59" s="65"/>
      <c r="N59" s="65"/>
      <c r="O59" s="65"/>
      <c r="P59" s="66"/>
      <c r="Q59" s="156"/>
      <c r="R59" s="156"/>
      <c r="S59" s="6"/>
      <c r="T59" s="6"/>
      <c r="U59" s="6"/>
      <c r="V59" s="6"/>
      <c r="W59" s="6"/>
      <c r="X59" s="6"/>
      <c r="Y59" s="6"/>
      <c r="Z59" s="6"/>
      <c r="AA59" s="68"/>
      <c r="AB59" s="68"/>
      <c r="AC59" s="6"/>
      <c r="AD59" s="95"/>
      <c r="AE59" s="99"/>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row>
    <row r="60" spans="1:252" s="96" customFormat="1" ht="15">
      <c r="A60" s="6"/>
      <c r="B60" s="67" t="s">
        <v>4</v>
      </c>
      <c r="C60" s="280" t="s">
        <v>5</v>
      </c>
      <c r="D60" s="280"/>
      <c r="E60" s="280"/>
      <c r="F60" s="280"/>
      <c r="G60" s="281"/>
      <c r="H60" s="32"/>
      <c r="I60" s="104"/>
      <c r="J60" s="6"/>
      <c r="K60" s="67" t="s">
        <v>4</v>
      </c>
      <c r="L60" s="281" t="s">
        <v>66</v>
      </c>
      <c r="M60" s="281"/>
      <c r="N60" s="281"/>
      <c r="O60" s="281"/>
      <c r="P60" s="281"/>
      <c r="Q60" s="24"/>
      <c r="R60" s="6"/>
      <c r="S60" s="6"/>
      <c r="T60" s="6"/>
      <c r="U60" s="6"/>
      <c r="V60" s="6"/>
      <c r="W60" s="6"/>
      <c r="X60" s="6"/>
      <c r="Y60" s="6"/>
      <c r="Z60" s="6"/>
      <c r="AA60" s="68"/>
      <c r="AB60" s="68"/>
      <c r="AC60" s="6"/>
      <c r="AD60" s="95"/>
      <c r="AE60" s="99"/>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row>
    <row r="61" spans="1:252" s="96" customFormat="1" ht="15">
      <c r="A61" s="6"/>
      <c r="B61" s="67"/>
      <c r="C61" s="205"/>
      <c r="D61" s="205"/>
      <c r="E61" s="205"/>
      <c r="F61" s="205"/>
      <c r="G61" s="205"/>
      <c r="H61" s="32"/>
      <c r="I61" s="104"/>
      <c r="J61" s="6"/>
      <c r="K61" s="67"/>
      <c r="L61" s="205"/>
      <c r="M61" s="205"/>
      <c r="N61" s="205"/>
      <c r="O61" s="205"/>
      <c r="P61" s="205"/>
      <c r="Q61" s="24"/>
      <c r="R61" s="6"/>
      <c r="S61" s="6"/>
      <c r="T61" s="6"/>
      <c r="U61" s="6"/>
      <c r="V61" s="6"/>
      <c r="W61" s="6"/>
      <c r="X61" s="6"/>
      <c r="Y61" s="6"/>
      <c r="Z61" s="6"/>
      <c r="AA61" s="68"/>
      <c r="AB61" s="68"/>
      <c r="AC61" s="6"/>
      <c r="AD61" s="95"/>
      <c r="AE61" s="99"/>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row>
    <row r="62" spans="1:252" s="96" customFormat="1" ht="15">
      <c r="A62" s="6"/>
      <c r="B62" s="57"/>
      <c r="C62" s="57"/>
      <c r="D62" s="57"/>
      <c r="E62" s="57"/>
      <c r="F62" s="57"/>
      <c r="G62" s="57"/>
      <c r="H62" s="105" t="s">
        <v>46</v>
      </c>
      <c r="I62" s="32"/>
      <c r="J62" s="106">
        <v>42114</v>
      </c>
      <c r="K62" s="57"/>
      <c r="L62" s="57"/>
      <c r="M62" s="57"/>
      <c r="N62" s="57"/>
      <c r="O62" s="57"/>
      <c r="P62" s="24"/>
      <c r="Q62" s="24"/>
      <c r="R62" s="6"/>
      <c r="S62" s="6"/>
      <c r="T62" s="6"/>
      <c r="U62" s="6"/>
      <c r="V62" s="68"/>
      <c r="W62" s="6"/>
      <c r="X62" s="6"/>
      <c r="Y62" s="6"/>
      <c r="Z62" s="6"/>
      <c r="AA62" s="68"/>
      <c r="AB62" s="68"/>
      <c r="AC62" s="6"/>
      <c r="AD62" s="95"/>
      <c r="AE62" s="99"/>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row>
    <row r="63" spans="1:252" s="96" customFormat="1" ht="15" hidden="1">
      <c r="A63" s="6"/>
      <c r="B63" s="57"/>
      <c r="C63" s="57"/>
      <c r="D63" s="57"/>
      <c r="E63" s="57"/>
      <c r="F63" s="57"/>
      <c r="G63" s="57"/>
      <c r="H63" s="57"/>
      <c r="I63" s="57"/>
      <c r="J63" s="57"/>
      <c r="K63" s="57"/>
      <c r="L63" s="57"/>
      <c r="M63" s="57"/>
      <c r="N63" s="57"/>
      <c r="O63" s="57"/>
      <c r="P63" s="24"/>
      <c r="Q63" s="24"/>
      <c r="R63" s="6"/>
      <c r="S63" s="6"/>
      <c r="T63" s="6"/>
      <c r="U63" s="6"/>
      <c r="V63" s="6"/>
      <c r="W63" s="6"/>
      <c r="X63" s="6"/>
      <c r="Y63" s="6"/>
      <c r="Z63" s="6"/>
      <c r="AA63" s="68"/>
      <c r="AB63" s="68"/>
      <c r="AC63" s="6"/>
      <c r="AD63" s="95"/>
      <c r="AE63" s="99"/>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row>
    <row r="64" spans="1:252" s="96" customFormat="1" ht="15" hidden="1">
      <c r="A64" s="6"/>
      <c r="B64" s="57"/>
      <c r="C64" s="57"/>
      <c r="D64" s="57"/>
      <c r="E64" s="57"/>
      <c r="F64" s="57"/>
      <c r="G64" s="57"/>
      <c r="H64" s="57"/>
      <c r="I64" s="57"/>
      <c r="J64" s="57"/>
      <c r="K64" s="57"/>
      <c r="L64" s="57"/>
      <c r="M64" s="57"/>
      <c r="N64" s="57"/>
      <c r="O64" s="57"/>
      <c r="P64" s="24"/>
      <c r="Q64" s="24"/>
      <c r="R64" s="6"/>
      <c r="S64" s="6"/>
      <c r="T64" s="6"/>
      <c r="U64" s="6"/>
      <c r="V64" s="6"/>
      <c r="W64" s="6"/>
      <c r="X64" s="6"/>
      <c r="Y64" s="6"/>
      <c r="Z64" s="6"/>
      <c r="AA64" s="68"/>
      <c r="AB64" s="68"/>
      <c r="AC64" s="6"/>
      <c r="AD64" s="95"/>
      <c r="AE64" s="99"/>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row>
    <row r="65" spans="1:252" s="96" customFormat="1" ht="15" hidden="1">
      <c r="A65" s="6"/>
      <c r="B65" s="57"/>
      <c r="C65" s="57"/>
      <c r="D65" s="57"/>
      <c r="E65" s="57"/>
      <c r="F65" s="57"/>
      <c r="G65" s="57"/>
      <c r="H65" s="57"/>
      <c r="I65" s="57"/>
      <c r="J65" s="57"/>
      <c r="K65" s="57"/>
      <c r="L65" s="57"/>
      <c r="M65" s="57"/>
      <c r="N65" s="57"/>
      <c r="O65" s="57"/>
      <c r="P65" s="24"/>
      <c r="Q65" s="24"/>
      <c r="R65" s="6"/>
      <c r="S65" s="6"/>
      <c r="T65" s="6"/>
      <c r="U65" s="6"/>
      <c r="V65" s="6"/>
      <c r="W65" s="6"/>
      <c r="X65" s="6"/>
      <c r="Y65" s="6"/>
      <c r="Z65" s="6"/>
      <c r="AA65" s="68"/>
      <c r="AB65" s="68"/>
      <c r="AC65" s="6"/>
      <c r="AD65" s="95"/>
      <c r="AE65" s="99"/>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row>
    <row r="66" spans="1:252" s="96" customFormat="1" ht="15" hidden="1">
      <c r="A66" s="6"/>
      <c r="B66" s="57"/>
      <c r="C66" s="57"/>
      <c r="D66" s="57"/>
      <c r="E66" s="57"/>
      <c r="F66" s="57"/>
      <c r="G66" s="57"/>
      <c r="H66" s="57"/>
      <c r="I66" s="57"/>
      <c r="J66" s="57"/>
      <c r="K66" s="57"/>
      <c r="L66" s="57"/>
      <c r="M66" s="57"/>
      <c r="N66" s="57"/>
      <c r="O66" s="57"/>
      <c r="P66" s="24"/>
      <c r="Q66" s="24"/>
      <c r="R66" s="6"/>
      <c r="S66" s="6"/>
      <c r="T66" s="6"/>
      <c r="U66" s="6"/>
      <c r="V66" s="6"/>
      <c r="W66" s="6"/>
      <c r="X66" s="6"/>
      <c r="Y66" s="6"/>
      <c r="Z66" s="6"/>
      <c r="AA66" s="68"/>
      <c r="AB66" s="68"/>
      <c r="AC66" s="6"/>
      <c r="AD66" s="95"/>
      <c r="AE66" s="99"/>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row>
    <row r="67" spans="1:252" s="96" customFormat="1" ht="15" hidden="1">
      <c r="A67" s="6"/>
      <c r="B67" s="57"/>
      <c r="C67" s="57"/>
      <c r="D67" s="57"/>
      <c r="E67" s="57"/>
      <c r="F67" s="57"/>
      <c r="G67" s="57"/>
      <c r="H67" s="57"/>
      <c r="I67" s="57"/>
      <c r="J67" s="57"/>
      <c r="K67" s="57"/>
      <c r="L67" s="57"/>
      <c r="M67" s="57"/>
      <c r="N67" s="57"/>
      <c r="O67" s="57"/>
      <c r="P67" s="24"/>
      <c r="Q67" s="24"/>
      <c r="R67" s="6"/>
      <c r="S67" s="6"/>
      <c r="T67" s="6"/>
      <c r="U67" s="6"/>
      <c r="V67" s="6"/>
      <c r="W67" s="6"/>
      <c r="X67" s="6"/>
      <c r="Y67" s="6"/>
      <c r="Z67" s="6"/>
      <c r="AA67" s="68"/>
      <c r="AB67" s="68"/>
      <c r="AC67" s="6"/>
      <c r="AD67" s="95"/>
      <c r="AE67" s="99"/>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row>
    <row r="68" spans="1:252" s="96" customFormat="1" ht="15" hidden="1">
      <c r="A68" s="6"/>
      <c r="B68" s="57"/>
      <c r="C68" s="57"/>
      <c r="D68" s="57"/>
      <c r="E68" s="57"/>
      <c r="F68" s="57"/>
      <c r="G68" s="57"/>
      <c r="H68" s="57"/>
      <c r="I68" s="57"/>
      <c r="J68" s="57"/>
      <c r="K68" s="57"/>
      <c r="L68" s="57"/>
      <c r="M68" s="57"/>
      <c r="N68" s="57"/>
      <c r="O68" s="57"/>
      <c r="P68" s="24"/>
      <c r="Q68" s="24"/>
      <c r="R68" s="6"/>
      <c r="S68" s="6"/>
      <c r="T68" s="6"/>
      <c r="U68" s="6"/>
      <c r="V68" s="6"/>
      <c r="W68" s="6"/>
      <c r="X68" s="6"/>
      <c r="Y68" s="6"/>
      <c r="Z68" s="6"/>
      <c r="AA68" s="68"/>
      <c r="AB68" s="68"/>
      <c r="AC68" s="6"/>
      <c r="AD68" s="95"/>
      <c r="AE68" s="99"/>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row>
    <row r="69" spans="1:252" s="96" customFormat="1" ht="15" hidden="1">
      <c r="A69" s="6"/>
      <c r="B69" s="57"/>
      <c r="C69" s="57"/>
      <c r="D69" s="57"/>
      <c r="E69" s="57"/>
      <c r="F69" s="57"/>
      <c r="G69" s="57"/>
      <c r="H69" s="57"/>
      <c r="I69" s="57"/>
      <c r="J69" s="57"/>
      <c r="K69" s="57"/>
      <c r="L69" s="57"/>
      <c r="M69" s="57"/>
      <c r="N69" s="57"/>
      <c r="O69" s="57"/>
      <c r="P69" s="24"/>
      <c r="Q69" s="24"/>
      <c r="R69" s="6"/>
      <c r="S69" s="6"/>
      <c r="T69" s="6"/>
      <c r="U69" s="6"/>
      <c r="V69" s="6"/>
      <c r="W69" s="6"/>
      <c r="X69" s="6"/>
      <c r="Y69" s="6"/>
      <c r="Z69" s="6"/>
      <c r="AA69" s="68"/>
      <c r="AB69" s="68"/>
      <c r="AC69" s="6"/>
      <c r="AD69" s="95"/>
      <c r="AE69" s="99"/>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row>
    <row r="70" spans="1:252" s="96" customFormat="1" ht="15" hidden="1">
      <c r="A70" s="6"/>
      <c r="B70" s="57"/>
      <c r="C70" s="57"/>
      <c r="D70" s="57"/>
      <c r="E70" s="57"/>
      <c r="F70" s="57"/>
      <c r="G70" s="57"/>
      <c r="H70" s="57"/>
      <c r="I70" s="57"/>
      <c r="J70" s="57"/>
      <c r="K70" s="57"/>
      <c r="L70" s="57"/>
      <c r="M70" s="57"/>
      <c r="N70" s="57"/>
      <c r="O70" s="57"/>
      <c r="P70" s="24"/>
      <c r="Q70" s="24"/>
      <c r="R70" s="6"/>
      <c r="S70" s="6"/>
      <c r="T70" s="6"/>
      <c r="U70" s="6"/>
      <c r="V70" s="6"/>
      <c r="W70" s="6"/>
      <c r="X70" s="6"/>
      <c r="Y70" s="6"/>
      <c r="Z70" s="6"/>
      <c r="AA70" s="68"/>
      <c r="AB70" s="68"/>
      <c r="AC70" s="6"/>
      <c r="AD70" s="95"/>
      <c r="AE70" s="99"/>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row>
    <row r="71" spans="1:252" s="96" customFormat="1" ht="15" hidden="1">
      <c r="A71" s="6"/>
      <c r="B71" s="57"/>
      <c r="C71" s="57"/>
      <c r="D71" s="57"/>
      <c r="E71" s="57"/>
      <c r="F71" s="57"/>
      <c r="G71" s="57"/>
      <c r="H71" s="57"/>
      <c r="I71" s="57"/>
      <c r="J71" s="57"/>
      <c r="K71" s="57"/>
      <c r="L71" s="57"/>
      <c r="M71" s="57"/>
      <c r="N71" s="57"/>
      <c r="O71" s="57"/>
      <c r="P71" s="24"/>
      <c r="Q71" s="24"/>
      <c r="R71" s="6"/>
      <c r="S71" s="6"/>
      <c r="T71" s="6"/>
      <c r="U71" s="6"/>
      <c r="V71" s="6"/>
      <c r="W71" s="6"/>
      <c r="X71" s="6"/>
      <c r="Y71" s="6"/>
      <c r="Z71" s="6"/>
      <c r="AA71" s="68"/>
      <c r="AB71" s="68"/>
      <c r="AC71" s="6"/>
      <c r="AD71" s="95"/>
      <c r="AE71" s="99"/>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row>
    <row r="72" spans="1:252" s="96" customFormat="1" ht="15" hidden="1">
      <c r="A72" s="6"/>
      <c r="B72" s="57"/>
      <c r="C72" s="57"/>
      <c r="D72" s="57"/>
      <c r="E72" s="57"/>
      <c r="F72" s="57"/>
      <c r="G72" s="57"/>
      <c r="H72" s="57"/>
      <c r="I72" s="57"/>
      <c r="J72" s="57"/>
      <c r="K72" s="57"/>
      <c r="L72" s="57"/>
      <c r="M72" s="57"/>
      <c r="N72" s="57"/>
      <c r="O72" s="57"/>
      <c r="P72" s="24"/>
      <c r="Q72" s="24"/>
      <c r="R72" s="6"/>
      <c r="S72" s="6"/>
      <c r="T72" s="6"/>
      <c r="U72" s="6"/>
      <c r="V72" s="6"/>
      <c r="W72" s="6"/>
      <c r="X72" s="6"/>
      <c r="Y72" s="6"/>
      <c r="Z72" s="6"/>
      <c r="AA72" s="68"/>
      <c r="AB72" s="68"/>
      <c r="AC72" s="6"/>
      <c r="AD72" s="95"/>
      <c r="AE72" s="99"/>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row>
    <row r="73" spans="1:252" s="96" customFormat="1" ht="15" hidden="1">
      <c r="A73" s="6"/>
      <c r="B73" s="57"/>
      <c r="C73" s="57"/>
      <c r="D73" s="57"/>
      <c r="E73" s="57"/>
      <c r="F73" s="57"/>
      <c r="G73" s="57"/>
      <c r="H73" s="57"/>
      <c r="I73" s="57"/>
      <c r="J73" s="57"/>
      <c r="K73" s="57"/>
      <c r="L73" s="57"/>
      <c r="M73" s="57"/>
      <c r="N73" s="57"/>
      <c r="O73" s="57"/>
      <c r="P73" s="24"/>
      <c r="Q73" s="24"/>
      <c r="R73" s="6"/>
      <c r="S73" s="6"/>
      <c r="T73" s="6"/>
      <c r="U73" s="6"/>
      <c r="V73" s="6"/>
      <c r="W73" s="6"/>
      <c r="X73" s="6"/>
      <c r="Y73" s="6"/>
      <c r="Z73" s="6"/>
      <c r="AA73" s="68"/>
      <c r="AB73" s="68"/>
      <c r="AC73" s="6"/>
      <c r="AD73" s="95"/>
      <c r="AE73" s="99"/>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c r="HR73" s="3"/>
      <c r="HS73" s="3"/>
      <c r="HT73" s="3"/>
      <c r="HU73" s="3"/>
      <c r="HV73" s="3"/>
      <c r="HW73" s="3"/>
      <c r="HX73" s="3"/>
      <c r="HY73" s="3"/>
      <c r="HZ73" s="3"/>
      <c r="IA73" s="3"/>
      <c r="IB73" s="3"/>
      <c r="IC73" s="3"/>
      <c r="ID73" s="3"/>
      <c r="IE73" s="3"/>
      <c r="IF73" s="3"/>
      <c r="IG73" s="3"/>
      <c r="IH73" s="3"/>
      <c r="II73" s="3"/>
      <c r="IJ73" s="3"/>
      <c r="IK73" s="3"/>
      <c r="IL73" s="3"/>
      <c r="IM73" s="3"/>
      <c r="IN73" s="3"/>
      <c r="IO73" s="3"/>
      <c r="IP73" s="3"/>
      <c r="IQ73" s="3"/>
      <c r="IR73" s="3"/>
    </row>
    <row r="74" spans="1:252" s="96" customFormat="1" ht="15" hidden="1">
      <c r="A74" s="6"/>
      <c r="B74" s="57"/>
      <c r="C74" s="57"/>
      <c r="D74" s="57"/>
      <c r="E74" s="57"/>
      <c r="F74" s="57"/>
      <c r="G74" s="57"/>
      <c r="H74" s="57"/>
      <c r="I74" s="57"/>
      <c r="J74" s="57"/>
      <c r="K74" s="57"/>
      <c r="L74" s="57"/>
      <c r="M74" s="57"/>
      <c r="N74" s="57"/>
      <c r="O74" s="57"/>
      <c r="P74" s="24"/>
      <c r="Q74" s="24"/>
      <c r="R74" s="6"/>
      <c r="S74" s="6"/>
      <c r="T74" s="6"/>
      <c r="U74" s="6"/>
      <c r="V74" s="6"/>
      <c r="W74" s="6"/>
      <c r="X74" s="6"/>
      <c r="Y74" s="6"/>
      <c r="Z74" s="6"/>
      <c r="AA74" s="68"/>
      <c r="AB74" s="68"/>
      <c r="AC74" s="6"/>
      <c r="AD74" s="95"/>
      <c r="AE74" s="99"/>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row>
    <row r="75" spans="1:252" s="96" customFormat="1" ht="15" hidden="1">
      <c r="A75" s="6"/>
      <c r="B75" s="57"/>
      <c r="C75" s="57"/>
      <c r="D75" s="57"/>
      <c r="E75" s="57"/>
      <c r="F75" s="57"/>
      <c r="G75" s="57"/>
      <c r="H75" s="57"/>
      <c r="I75" s="57"/>
      <c r="J75" s="57"/>
      <c r="K75" s="57"/>
      <c r="L75" s="57"/>
      <c r="M75" s="57"/>
      <c r="N75" s="57"/>
      <c r="O75" s="57"/>
      <c r="P75" s="24"/>
      <c r="Q75" s="24"/>
      <c r="R75" s="6"/>
      <c r="S75" s="6"/>
      <c r="T75" s="6"/>
      <c r="U75" s="6"/>
      <c r="V75" s="6"/>
      <c r="W75" s="6"/>
      <c r="X75" s="6"/>
      <c r="Y75" s="6"/>
      <c r="Z75" s="6"/>
      <c r="AA75" s="68"/>
      <c r="AB75" s="68"/>
      <c r="AC75" s="6"/>
      <c r="AD75" s="95"/>
      <c r="AE75" s="99"/>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row>
    <row r="76" spans="1:252" s="96" customFormat="1" ht="15" hidden="1">
      <c r="A76" s="6"/>
      <c r="B76" s="57"/>
      <c r="C76" s="57"/>
      <c r="D76" s="57"/>
      <c r="E76" s="57"/>
      <c r="F76" s="57"/>
      <c r="G76" s="57"/>
      <c r="H76" s="57"/>
      <c r="I76" s="57"/>
      <c r="J76" s="57"/>
      <c r="K76" s="57"/>
      <c r="L76" s="57"/>
      <c r="M76" s="57"/>
      <c r="N76" s="57"/>
      <c r="O76" s="57"/>
      <c r="P76" s="24"/>
      <c r="Q76" s="24"/>
      <c r="R76" s="6"/>
      <c r="S76" s="6"/>
      <c r="T76" s="6"/>
      <c r="U76" s="6"/>
      <c r="V76" s="6"/>
      <c r="W76" s="6"/>
      <c r="X76" s="6"/>
      <c r="Y76" s="6"/>
      <c r="Z76" s="6"/>
      <c r="AA76" s="68"/>
      <c r="AB76" s="68"/>
      <c r="AC76" s="6"/>
      <c r="AD76" s="95"/>
      <c r="AE76" s="99"/>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row>
    <row r="77" spans="1:252" s="96" customFormat="1" ht="15" hidden="1">
      <c r="A77" s="6"/>
      <c r="B77" s="57"/>
      <c r="C77" s="57"/>
      <c r="D77" s="57"/>
      <c r="E77" s="57"/>
      <c r="F77" s="57"/>
      <c r="G77" s="57"/>
      <c r="H77" s="57"/>
      <c r="I77" s="57"/>
      <c r="J77" s="57"/>
      <c r="K77" s="57"/>
      <c r="L77" s="57"/>
      <c r="M77" s="57"/>
      <c r="N77" s="57"/>
      <c r="O77" s="57"/>
      <c r="P77" s="24"/>
      <c r="Q77" s="24"/>
      <c r="R77" s="6"/>
      <c r="S77" s="6"/>
      <c r="T77" s="6"/>
      <c r="U77" s="6"/>
      <c r="V77" s="6"/>
      <c r="W77" s="6"/>
      <c r="X77" s="6"/>
      <c r="Y77" s="6"/>
      <c r="Z77" s="6"/>
      <c r="AA77" s="68"/>
      <c r="AB77" s="68"/>
      <c r="AC77" s="6"/>
      <c r="AD77" s="95"/>
      <c r="AE77" s="99"/>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c r="HF77" s="3"/>
      <c r="HG77" s="3"/>
      <c r="HH77" s="3"/>
      <c r="HI77" s="3"/>
      <c r="HJ77" s="3"/>
      <c r="HK77" s="3"/>
      <c r="HL77" s="3"/>
      <c r="HM77" s="3"/>
      <c r="HN77" s="3"/>
      <c r="HO77" s="3"/>
      <c r="HP77" s="3"/>
      <c r="HQ77" s="3"/>
      <c r="HR77" s="3"/>
      <c r="HS77" s="3"/>
      <c r="HT77" s="3"/>
      <c r="HU77" s="3"/>
      <c r="HV77" s="3"/>
      <c r="HW77" s="3"/>
      <c r="HX77" s="3"/>
      <c r="HY77" s="3"/>
      <c r="HZ77" s="3"/>
      <c r="IA77" s="3"/>
      <c r="IB77" s="3"/>
      <c r="IC77" s="3"/>
      <c r="ID77" s="3"/>
      <c r="IE77" s="3"/>
      <c r="IF77" s="3"/>
      <c r="IG77" s="3"/>
      <c r="IH77" s="3"/>
      <c r="II77" s="3"/>
      <c r="IJ77" s="3"/>
      <c r="IK77" s="3"/>
      <c r="IL77" s="3"/>
      <c r="IM77" s="3"/>
      <c r="IN77" s="3"/>
      <c r="IO77" s="3"/>
      <c r="IP77" s="3"/>
      <c r="IQ77" s="3"/>
      <c r="IR77" s="3"/>
    </row>
    <row r="78" spans="1:252" s="96" customFormat="1" ht="15" hidden="1">
      <c r="A78" s="6"/>
      <c r="B78" s="57"/>
      <c r="C78" s="57"/>
      <c r="D78" s="57"/>
      <c r="E78" s="57"/>
      <c r="F78" s="57"/>
      <c r="G78" s="57"/>
      <c r="H78" s="57"/>
      <c r="I78" s="57"/>
      <c r="J78" s="57"/>
      <c r="K78" s="57"/>
      <c r="L78" s="57"/>
      <c r="M78" s="57"/>
      <c r="N78" s="57"/>
      <c r="O78" s="57"/>
      <c r="P78" s="24"/>
      <c r="Q78" s="24"/>
      <c r="R78" s="6"/>
      <c r="S78" s="6"/>
      <c r="T78" s="6"/>
      <c r="U78" s="6"/>
      <c r="V78" s="6"/>
      <c r="W78" s="6"/>
      <c r="X78" s="6"/>
      <c r="Y78" s="6"/>
      <c r="Z78" s="6"/>
      <c r="AA78" s="68"/>
      <c r="AB78" s="68"/>
      <c r="AC78" s="6"/>
      <c r="AD78" s="95"/>
      <c r="AE78" s="99"/>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c r="HF78" s="3"/>
      <c r="HG78" s="3"/>
      <c r="HH78" s="3"/>
      <c r="HI78" s="3"/>
      <c r="HJ78" s="3"/>
      <c r="HK78" s="3"/>
      <c r="HL78" s="3"/>
      <c r="HM78" s="3"/>
      <c r="HN78" s="3"/>
      <c r="HO78" s="3"/>
      <c r="HP78" s="3"/>
      <c r="HQ78" s="3"/>
      <c r="HR78" s="3"/>
      <c r="HS78" s="3"/>
      <c r="HT78" s="3"/>
      <c r="HU78" s="3"/>
      <c r="HV78" s="3"/>
      <c r="HW78" s="3"/>
      <c r="HX78" s="3"/>
      <c r="HY78" s="3"/>
      <c r="HZ78" s="3"/>
      <c r="IA78" s="3"/>
      <c r="IB78" s="3"/>
      <c r="IC78" s="3"/>
      <c r="ID78" s="3"/>
      <c r="IE78" s="3"/>
      <c r="IF78" s="3"/>
      <c r="IG78" s="3"/>
      <c r="IH78" s="3"/>
      <c r="II78" s="3"/>
      <c r="IJ78" s="3"/>
      <c r="IK78" s="3"/>
      <c r="IL78" s="3"/>
      <c r="IM78" s="3"/>
      <c r="IN78" s="3"/>
      <c r="IO78" s="3"/>
      <c r="IP78" s="3"/>
      <c r="IQ78" s="3"/>
      <c r="IR78" s="3"/>
    </row>
    <row r="79" spans="1:252" s="96" customFormat="1" ht="15" hidden="1">
      <c r="A79" s="6"/>
      <c r="B79" s="57"/>
      <c r="C79" s="57"/>
      <c r="D79" s="57"/>
      <c r="E79" s="57"/>
      <c r="F79" s="57"/>
      <c r="G79" s="57"/>
      <c r="H79" s="57"/>
      <c r="I79" s="57"/>
      <c r="J79" s="57"/>
      <c r="K79" s="57"/>
      <c r="L79" s="57"/>
      <c r="M79" s="57"/>
      <c r="N79" s="57"/>
      <c r="O79" s="57"/>
      <c r="P79" s="24"/>
      <c r="Q79" s="24"/>
      <c r="R79" s="6"/>
      <c r="S79" s="6"/>
      <c r="T79" s="6"/>
      <c r="U79" s="6"/>
      <c r="V79" s="6"/>
      <c r="W79" s="6"/>
      <c r="X79" s="6"/>
      <c r="Y79" s="6"/>
      <c r="Z79" s="6"/>
      <c r="AA79" s="68"/>
      <c r="AB79" s="68"/>
      <c r="AC79" s="6"/>
      <c r="AD79" s="95"/>
      <c r="AE79" s="99"/>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c r="HF79" s="3"/>
      <c r="HG79" s="3"/>
      <c r="HH79" s="3"/>
      <c r="HI79" s="3"/>
      <c r="HJ79" s="3"/>
      <c r="HK79" s="3"/>
      <c r="HL79" s="3"/>
      <c r="HM79" s="3"/>
      <c r="HN79" s="3"/>
      <c r="HO79" s="3"/>
      <c r="HP79" s="3"/>
      <c r="HQ79" s="3"/>
      <c r="HR79" s="3"/>
      <c r="HS79" s="3"/>
      <c r="HT79" s="3"/>
      <c r="HU79" s="3"/>
      <c r="HV79" s="3"/>
      <c r="HW79" s="3"/>
      <c r="HX79" s="3"/>
      <c r="HY79" s="3"/>
      <c r="HZ79" s="3"/>
      <c r="IA79" s="3"/>
      <c r="IB79" s="3"/>
      <c r="IC79" s="3"/>
      <c r="ID79" s="3"/>
      <c r="IE79" s="3"/>
      <c r="IF79" s="3"/>
      <c r="IG79" s="3"/>
      <c r="IH79" s="3"/>
      <c r="II79" s="3"/>
      <c r="IJ79" s="3"/>
      <c r="IK79" s="3"/>
      <c r="IL79" s="3"/>
      <c r="IM79" s="3"/>
      <c r="IN79" s="3"/>
      <c r="IO79" s="3"/>
      <c r="IP79" s="3"/>
      <c r="IQ79" s="3"/>
      <c r="IR79" s="3"/>
    </row>
    <row r="80" spans="1:252" s="96" customFormat="1" ht="15" hidden="1">
      <c r="A80" s="6"/>
      <c r="B80" s="57"/>
      <c r="C80" s="57"/>
      <c r="D80" s="57"/>
      <c r="E80" s="57"/>
      <c r="F80" s="57"/>
      <c r="G80" s="57"/>
      <c r="H80" s="57"/>
      <c r="I80" s="57"/>
      <c r="J80" s="57"/>
      <c r="K80" s="57"/>
      <c r="L80" s="57"/>
      <c r="M80" s="57"/>
      <c r="N80" s="57"/>
      <c r="O80" s="57"/>
      <c r="P80" s="24"/>
      <c r="Q80" s="24"/>
      <c r="R80" s="6"/>
      <c r="S80" s="6"/>
      <c r="T80" s="6"/>
      <c r="U80" s="6"/>
      <c r="V80" s="6"/>
      <c r="W80" s="6"/>
      <c r="X80" s="6"/>
      <c r="Y80" s="6"/>
      <c r="Z80" s="6"/>
      <c r="AA80" s="68"/>
      <c r="AB80" s="68"/>
      <c r="AC80" s="6"/>
      <c r="AD80" s="95"/>
      <c r="AE80" s="99"/>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c r="HF80" s="3"/>
      <c r="HG80" s="3"/>
      <c r="HH80" s="3"/>
      <c r="HI80" s="3"/>
      <c r="HJ80" s="3"/>
      <c r="HK80" s="3"/>
      <c r="HL80" s="3"/>
      <c r="HM80" s="3"/>
      <c r="HN80" s="3"/>
      <c r="HO80" s="3"/>
      <c r="HP80" s="3"/>
      <c r="HQ80" s="3"/>
      <c r="HR80" s="3"/>
      <c r="HS80" s="3"/>
      <c r="HT80" s="3"/>
      <c r="HU80" s="3"/>
      <c r="HV80" s="3"/>
      <c r="HW80" s="3"/>
      <c r="HX80" s="3"/>
      <c r="HY80" s="3"/>
      <c r="HZ80" s="3"/>
      <c r="IA80" s="3"/>
      <c r="IB80" s="3"/>
      <c r="IC80" s="3"/>
      <c r="ID80" s="3"/>
      <c r="IE80" s="3"/>
      <c r="IF80" s="3"/>
      <c r="IG80" s="3"/>
      <c r="IH80" s="3"/>
      <c r="II80" s="3"/>
      <c r="IJ80" s="3"/>
      <c r="IK80" s="3"/>
      <c r="IL80" s="3"/>
      <c r="IM80" s="3"/>
      <c r="IN80" s="3"/>
      <c r="IO80" s="3"/>
      <c r="IP80" s="3"/>
      <c r="IQ80" s="3"/>
      <c r="IR80" s="3"/>
    </row>
  </sheetData>
  <sheetProtection password="EE1F" sheet="1" objects="1" scenarios="1" selectLockedCells="1"/>
  <protectedRanges>
    <protectedRange sqref="M7 F12 I13:M13 F16 E17 I17:M17 F22:H52 L23:P52 C22:C52" name="Eingabebereich"/>
  </protectedRanges>
  <mergeCells count="47">
    <mergeCell ref="L21:P21"/>
    <mergeCell ref="B2:H2"/>
    <mergeCell ref="I2:J2"/>
    <mergeCell ref="K2:L2"/>
    <mergeCell ref="E5:H5"/>
    <mergeCell ref="M5:O5"/>
    <mergeCell ref="E7:H7"/>
    <mergeCell ref="M7:O7"/>
    <mergeCell ref="E17:F17"/>
    <mergeCell ref="C20:E20"/>
    <mergeCell ref="F20:H20"/>
    <mergeCell ref="I20:K20"/>
    <mergeCell ref="L20:P20"/>
    <mergeCell ref="L33:P33"/>
    <mergeCell ref="L22:P22"/>
    <mergeCell ref="L23:P23"/>
    <mergeCell ref="L24:P24"/>
    <mergeCell ref="L25:P25"/>
    <mergeCell ref="L26:P26"/>
    <mergeCell ref="L27:P27"/>
    <mergeCell ref="L28:P28"/>
    <mergeCell ref="L29:P29"/>
    <mergeCell ref="L30:P30"/>
    <mergeCell ref="L31:P31"/>
    <mergeCell ref="L32:P32"/>
    <mergeCell ref="L45:P45"/>
    <mergeCell ref="L34:P34"/>
    <mergeCell ref="L35:P35"/>
    <mergeCell ref="L36:P36"/>
    <mergeCell ref="L37:P37"/>
    <mergeCell ref="L38:P38"/>
    <mergeCell ref="L39:P39"/>
    <mergeCell ref="L40:P40"/>
    <mergeCell ref="L41:P41"/>
    <mergeCell ref="L42:P42"/>
    <mergeCell ref="L43:P43"/>
    <mergeCell ref="L44:P44"/>
    <mergeCell ref="L52:P52"/>
    <mergeCell ref="K55:O55"/>
    <mergeCell ref="C60:G60"/>
    <mergeCell ref="L60:P60"/>
    <mergeCell ref="L46:P46"/>
    <mergeCell ref="L47:P47"/>
    <mergeCell ref="L48:P48"/>
    <mergeCell ref="L49:P49"/>
    <mergeCell ref="L50:P50"/>
    <mergeCell ref="L51:P51"/>
  </mergeCells>
  <conditionalFormatting sqref="C22:I52 L23:L39 L44:L52">
    <cfRule type="expression" dxfId="367" priority="243" stopIfTrue="1">
      <formula>OR(($A22="Samstag"),($A22="Sonntag"),($AA22=TRUE()))</formula>
    </cfRule>
  </conditionalFormatting>
  <conditionalFormatting sqref="B22:B52">
    <cfRule type="expression" dxfId="366" priority="119" stopIfTrue="1">
      <formula>$AA22=TRUE()</formula>
    </cfRule>
    <cfRule type="expression" dxfId="365" priority="123" stopIfTrue="1">
      <formula>OR(($A22="Samstag"),($A22="Sonntag"))</formula>
    </cfRule>
    <cfRule type="expression" dxfId="364" priority="124" stopIfTrue="1">
      <formula>AND($E$17&lt;&gt;"",$B22&gt;=$E$17)</formula>
    </cfRule>
  </conditionalFormatting>
  <conditionalFormatting sqref="F32:H32 L23:L39">
    <cfRule type="expression" dxfId="363" priority="242" stopIfTrue="1">
      <formula>OR(($A23="Samstag"),($A23="Sonntag"))</formula>
    </cfRule>
  </conditionalFormatting>
  <conditionalFormatting sqref="F32:H32">
    <cfRule type="expression" dxfId="362" priority="241" stopIfTrue="1">
      <formula>OR(($A32="Samstag"),($A32="Sonntag"))</formula>
    </cfRule>
  </conditionalFormatting>
  <conditionalFormatting sqref="F52:H52">
    <cfRule type="expression" dxfId="361" priority="230" stopIfTrue="1">
      <formula>OR(($A52="Samstag"),($A52="Sonntag"))</formula>
    </cfRule>
  </conditionalFormatting>
  <conditionalFormatting sqref="F52:H52">
    <cfRule type="expression" dxfId="360" priority="229" stopIfTrue="1">
      <formula>OR(($A52="Samstag"),($A52="Sonntag"))</formula>
    </cfRule>
  </conditionalFormatting>
  <conditionalFormatting sqref="F46:H46">
    <cfRule type="expression" dxfId="359" priority="233" stopIfTrue="1">
      <formula>OR(($A46="Samstag"),($A46="Sonntag"))</formula>
    </cfRule>
  </conditionalFormatting>
  <conditionalFormatting sqref="F32:H32">
    <cfRule type="expression" dxfId="358" priority="237" stopIfTrue="1">
      <formula>OR(($A32="Samstag"),($A32="Sonntag"))</formula>
    </cfRule>
  </conditionalFormatting>
  <conditionalFormatting sqref="F24:H25">
    <cfRule type="expression" dxfId="357" priority="240" stopIfTrue="1">
      <formula>OR(($A24="Samstag"),($A24="Sonntag"))</formula>
    </cfRule>
  </conditionalFormatting>
  <conditionalFormatting sqref="F24:H24">
    <cfRule type="expression" dxfId="356" priority="239" stopIfTrue="1">
      <formula>OR(($A24="Samstag"),($A24="Sonntag"))</formula>
    </cfRule>
  </conditionalFormatting>
  <conditionalFormatting sqref="F25:H25">
    <cfRule type="expression" dxfId="355" priority="238" stopIfTrue="1">
      <formula>OR(($A25="Samstag"),($A25="Sonntag"))</formula>
    </cfRule>
  </conditionalFormatting>
  <conditionalFormatting sqref="F39:H39">
    <cfRule type="expression" dxfId="354" priority="235" stopIfTrue="1">
      <formula>OR(($A39="Samstag"),($A39="Sonntag"))</formula>
    </cfRule>
  </conditionalFormatting>
  <conditionalFormatting sqref="F39:H39">
    <cfRule type="expression" dxfId="353" priority="236" stopIfTrue="1">
      <formula>OR(($A39="Samstag"),($A39="Sonntag"))</formula>
    </cfRule>
  </conditionalFormatting>
  <conditionalFormatting sqref="F39:H39">
    <cfRule type="expression" dxfId="352" priority="234" stopIfTrue="1">
      <formula>OR(($A39="Samstag"),($A39="Sonntag"))</formula>
    </cfRule>
  </conditionalFormatting>
  <conditionalFormatting sqref="F46:H46">
    <cfRule type="expression" dxfId="351" priority="232" stopIfTrue="1">
      <formula>OR(($A46="Samstag"),($A46="Sonntag"))</formula>
    </cfRule>
  </conditionalFormatting>
  <conditionalFormatting sqref="F46:H46">
    <cfRule type="expression" dxfId="350" priority="231" stopIfTrue="1">
      <formula>OR(($A46="Samstag"),($A46="Sonntag"))</formula>
    </cfRule>
  </conditionalFormatting>
  <conditionalFormatting sqref="F22:H52">
    <cfRule type="expression" dxfId="349" priority="228" stopIfTrue="1">
      <formula>OR(($A22="Samstag"),($A22="Sonntag"))</formula>
    </cfRule>
  </conditionalFormatting>
  <conditionalFormatting sqref="F22:H52">
    <cfRule type="expression" dxfId="348" priority="227" stopIfTrue="1">
      <formula>OR(($A22="Samstag"),($A22="Sonntag"))</formula>
    </cfRule>
  </conditionalFormatting>
  <conditionalFormatting sqref="G23">
    <cfRule type="expression" dxfId="347" priority="226" stopIfTrue="1">
      <formula>OR(($A23="Samstag"),($A23="Sonntag"))</formula>
    </cfRule>
  </conditionalFormatting>
  <conditionalFormatting sqref="G23">
    <cfRule type="expression" dxfId="346" priority="225" stopIfTrue="1">
      <formula>OR(($A23="Samstag"),($A23="Sonntag"))</formula>
    </cfRule>
  </conditionalFormatting>
  <conditionalFormatting sqref="F31:H31">
    <cfRule type="expression" dxfId="345" priority="224" stopIfTrue="1">
      <formula>OR(($A31="Samstag"),($A31="Sonntag"))</formula>
    </cfRule>
  </conditionalFormatting>
  <conditionalFormatting sqref="F31:H31">
    <cfRule type="expression" dxfId="344" priority="223" stopIfTrue="1">
      <formula>OR(($A31="Samstag"),($A31="Sonntag"))</formula>
    </cfRule>
  </conditionalFormatting>
  <conditionalFormatting sqref="F38:H38">
    <cfRule type="expression" dxfId="343" priority="222" stopIfTrue="1">
      <formula>OR(($A38="Samstag"),($A38="Sonntag"))</formula>
    </cfRule>
  </conditionalFormatting>
  <conditionalFormatting sqref="F38:H38">
    <cfRule type="expression" dxfId="342" priority="221" stopIfTrue="1">
      <formula>OR(($A38="Samstag"),($A38="Sonntag"))</formula>
    </cfRule>
  </conditionalFormatting>
  <conditionalFormatting sqref="F45:H45">
    <cfRule type="expression" dxfId="341" priority="220" stopIfTrue="1">
      <formula>OR(($A45="Samstag"),($A45="Sonntag"))</formula>
    </cfRule>
  </conditionalFormatting>
  <conditionalFormatting sqref="F45:H45">
    <cfRule type="expression" dxfId="340" priority="219" stopIfTrue="1">
      <formula>OR(($A45="Samstag"),($A45="Sonntag"))</formula>
    </cfRule>
  </conditionalFormatting>
  <conditionalFormatting sqref="G26:G30">
    <cfRule type="expression" dxfId="339" priority="218" stopIfTrue="1">
      <formula>OR(($A26="Samstag"),($A26="Sonntag"))</formula>
    </cfRule>
  </conditionalFormatting>
  <conditionalFormatting sqref="G26:G30">
    <cfRule type="expression" dxfId="338" priority="217" stopIfTrue="1">
      <formula>OR(($A26="Samstag"),($A26="Sonntag"))</formula>
    </cfRule>
  </conditionalFormatting>
  <conditionalFormatting sqref="G33:G37">
    <cfRule type="expression" dxfId="337" priority="216" stopIfTrue="1">
      <formula>OR(($A33="Samstag"),($A33="Sonntag"))</formula>
    </cfRule>
  </conditionalFormatting>
  <conditionalFormatting sqref="G33:G37">
    <cfRule type="expression" dxfId="336" priority="215" stopIfTrue="1">
      <formula>OR(($A33="Samstag"),($A33="Sonntag"))</formula>
    </cfRule>
  </conditionalFormatting>
  <conditionalFormatting sqref="G40:G44">
    <cfRule type="expression" dxfId="335" priority="214" stopIfTrue="1">
      <formula>OR(($A40="Samstag"),($A40="Sonntag"))</formula>
    </cfRule>
  </conditionalFormatting>
  <conditionalFormatting sqref="G40:G44">
    <cfRule type="expression" dxfId="334" priority="213" stopIfTrue="1">
      <formula>OR(($A40="Samstag"),($A40="Sonntag"))</formula>
    </cfRule>
  </conditionalFormatting>
  <conditionalFormatting sqref="G47:G51">
    <cfRule type="expression" dxfId="333" priority="212" stopIfTrue="1">
      <formula>OR(($A47="Samstag"),($A47="Sonntag"))</formula>
    </cfRule>
  </conditionalFormatting>
  <conditionalFormatting sqref="G47:G51">
    <cfRule type="expression" dxfId="332" priority="211" stopIfTrue="1">
      <formula>OR(($A47="Samstag"),($A47="Sonntag"))</formula>
    </cfRule>
  </conditionalFormatting>
  <conditionalFormatting sqref="F23:H23">
    <cfRule type="expression" dxfId="331" priority="210" stopIfTrue="1">
      <formula>OR(($A23="Samstag"),($A23="Sonntag"))</formula>
    </cfRule>
  </conditionalFormatting>
  <conditionalFormatting sqref="F23:H23">
    <cfRule type="expression" dxfId="330" priority="209" stopIfTrue="1">
      <formula>OR(($A23="Samstag"),($A23="Sonntag"))</formula>
    </cfRule>
  </conditionalFormatting>
  <conditionalFormatting sqref="F26:H30">
    <cfRule type="expression" dxfId="329" priority="208" stopIfTrue="1">
      <formula>OR(($A26="Samstag"),($A26="Sonntag"))</formula>
    </cfRule>
  </conditionalFormatting>
  <conditionalFormatting sqref="F26:H30">
    <cfRule type="expression" dxfId="328" priority="207" stopIfTrue="1">
      <formula>OR(($A26="Samstag"),($A26="Sonntag"))</formula>
    </cfRule>
  </conditionalFormatting>
  <conditionalFormatting sqref="F33:H37">
    <cfRule type="expression" dxfId="327" priority="206" stopIfTrue="1">
      <formula>OR(($A33="Samstag"),($A33="Sonntag"))</formula>
    </cfRule>
  </conditionalFormatting>
  <conditionalFormatting sqref="F33:H37">
    <cfRule type="expression" dxfId="326" priority="205" stopIfTrue="1">
      <formula>OR(($A33="Samstag"),($A33="Sonntag"))</formula>
    </cfRule>
  </conditionalFormatting>
  <conditionalFormatting sqref="F40:H44">
    <cfRule type="expression" dxfId="325" priority="204" stopIfTrue="1">
      <formula>OR(($A40="Samstag"),($A40="Sonntag"))</formula>
    </cfRule>
  </conditionalFormatting>
  <conditionalFormatting sqref="F40:H44">
    <cfRule type="expression" dxfId="324" priority="203" stopIfTrue="1">
      <formula>OR(($A40="Samstag"),($A40="Sonntag"))</formula>
    </cfRule>
  </conditionalFormatting>
  <conditionalFormatting sqref="H40:H44">
    <cfRule type="expression" dxfId="323" priority="194" stopIfTrue="1">
      <formula>OR(($A40="Samstag"),($A40="Sonntag"))</formula>
    </cfRule>
  </conditionalFormatting>
  <conditionalFormatting sqref="H40:H44">
    <cfRule type="expression" dxfId="322" priority="193" stopIfTrue="1">
      <formula>OR(($A40="Samstag"),($A40="Sonntag"))</formula>
    </cfRule>
  </conditionalFormatting>
  <conditionalFormatting sqref="F47:H51">
    <cfRule type="expression" dxfId="321" priority="202" stopIfTrue="1">
      <formula>OR(($A47="Samstag"),($A47="Sonntag"))</formula>
    </cfRule>
  </conditionalFormatting>
  <conditionalFormatting sqref="F47:H51">
    <cfRule type="expression" dxfId="320" priority="201" stopIfTrue="1">
      <formula>OR(($A47="Samstag"),($A47="Sonntag"))</formula>
    </cfRule>
  </conditionalFormatting>
  <conditionalFormatting sqref="H23">
    <cfRule type="expression" dxfId="319" priority="200" stopIfTrue="1">
      <formula>OR(($A23="Samstag"),($A23="Sonntag"))</formula>
    </cfRule>
  </conditionalFormatting>
  <conditionalFormatting sqref="H23">
    <cfRule type="expression" dxfId="318" priority="199" stopIfTrue="1">
      <formula>OR(($A23="Samstag"),($A23="Sonntag"))</formula>
    </cfRule>
  </conditionalFormatting>
  <conditionalFormatting sqref="H26:H30">
    <cfRule type="expression" dxfId="317" priority="198" stopIfTrue="1">
      <formula>OR(($A26="Samstag"),($A26="Sonntag"))</formula>
    </cfRule>
  </conditionalFormatting>
  <conditionalFormatting sqref="H26:H30">
    <cfRule type="expression" dxfId="316" priority="197" stopIfTrue="1">
      <formula>OR(($A26="Samstag"),($A26="Sonntag"))</formula>
    </cfRule>
  </conditionalFormatting>
  <conditionalFormatting sqref="H33:H37">
    <cfRule type="expression" dxfId="315" priority="196" stopIfTrue="1">
      <formula>OR(($A33="Samstag"),($A33="Sonntag"))</formula>
    </cfRule>
  </conditionalFormatting>
  <conditionalFormatting sqref="H33:H37">
    <cfRule type="expression" dxfId="314" priority="195" stopIfTrue="1">
      <formula>OR(($A33="Samstag"),($A33="Sonntag"))</formula>
    </cfRule>
  </conditionalFormatting>
  <conditionalFormatting sqref="H47:H51">
    <cfRule type="expression" dxfId="313" priority="192" stopIfTrue="1">
      <formula>OR(($A47="Samstag"),($A47="Sonntag"))</formula>
    </cfRule>
  </conditionalFormatting>
  <conditionalFormatting sqref="H47:H51">
    <cfRule type="expression" dxfId="312" priority="191" stopIfTrue="1">
      <formula>OR(($A47="Samstag"),($A47="Sonntag"))</formula>
    </cfRule>
  </conditionalFormatting>
  <conditionalFormatting sqref="I22:I52">
    <cfRule type="expression" dxfId="311" priority="176" stopIfTrue="1">
      <formula>OR(($A22="Samstag"),($A22="Sonntag"))</formula>
    </cfRule>
  </conditionalFormatting>
  <conditionalFormatting sqref="I22:I52">
    <cfRule type="expression" dxfId="310" priority="175" stopIfTrue="1">
      <formula>OR(($A22="Samstag"),($A22="Sonntag"))</formula>
    </cfRule>
  </conditionalFormatting>
  <conditionalFormatting sqref="N13 N17">
    <cfRule type="cellIs" dxfId="309" priority="125" stopIfTrue="1" operator="equal">
      <formula>0</formula>
    </cfRule>
  </conditionalFormatting>
  <conditionalFormatting sqref="N13">
    <cfRule type="cellIs" dxfId="308" priority="245" stopIfTrue="1" operator="equal">
      <formula>$F$12</formula>
    </cfRule>
    <cfRule type="cellIs" dxfId="307" priority="246" stopIfTrue="1" operator="notEqual">
      <formula>$F$12</formula>
    </cfRule>
  </conditionalFormatting>
  <conditionalFormatting sqref="N17">
    <cfRule type="cellIs" dxfId="306" priority="126" stopIfTrue="1" operator="notEqual">
      <formula>$F$16</formula>
    </cfRule>
    <cfRule type="cellIs" dxfId="305" priority="244" stopIfTrue="1" operator="equal">
      <formula>$F$16</formula>
    </cfRule>
  </conditionalFormatting>
  <conditionalFormatting sqref="I23:I52">
    <cfRule type="expression" dxfId="304" priority="122" stopIfTrue="1">
      <formula>OR(($A23="Samstag"),($A23="Sonntag"))</formula>
    </cfRule>
  </conditionalFormatting>
  <conditionalFormatting sqref="I23:I52">
    <cfRule type="expression" dxfId="303" priority="121" stopIfTrue="1">
      <formula>OR(($A23="Samstag"),($A23="Sonntag"))</formula>
    </cfRule>
  </conditionalFormatting>
  <conditionalFormatting sqref="K55:N55">
    <cfRule type="expression" dxfId="302" priority="120" stopIfTrue="1">
      <formula>OR(($A55="Samstag"),($A55="Sonntag"))</formula>
    </cfRule>
  </conditionalFormatting>
  <conditionalFormatting sqref="G32">
    <cfRule type="expression" dxfId="301" priority="118" stopIfTrue="1">
      <formula>OR(($A32="Samstag"),($A32="Sonntag"))</formula>
    </cfRule>
  </conditionalFormatting>
  <conditionalFormatting sqref="G32">
    <cfRule type="expression" dxfId="300" priority="117" stopIfTrue="1">
      <formula>OR(($A32="Samstag"),($A32="Sonntag"))</formula>
    </cfRule>
  </conditionalFormatting>
  <conditionalFormatting sqref="G52">
    <cfRule type="expression" dxfId="299" priority="106" stopIfTrue="1">
      <formula>OR(($A52="Samstag"),($A52="Sonntag"))</formula>
    </cfRule>
  </conditionalFormatting>
  <conditionalFormatting sqref="G52">
    <cfRule type="expression" dxfId="298" priority="105" stopIfTrue="1">
      <formula>OR(($A52="Samstag"),($A52="Sonntag"))</formula>
    </cfRule>
  </conditionalFormatting>
  <conditionalFormatting sqref="G46">
    <cfRule type="expression" dxfId="297" priority="109" stopIfTrue="1">
      <formula>OR(($A46="Samstag"),($A46="Sonntag"))</formula>
    </cfRule>
  </conditionalFormatting>
  <conditionalFormatting sqref="G32">
    <cfRule type="expression" dxfId="296" priority="113" stopIfTrue="1">
      <formula>OR(($A32="Samstag"),($A32="Sonntag"))</formula>
    </cfRule>
  </conditionalFormatting>
  <conditionalFormatting sqref="G24:G25">
    <cfRule type="expression" dxfId="295" priority="116" stopIfTrue="1">
      <formula>OR(($A24="Samstag"),($A24="Sonntag"))</formula>
    </cfRule>
  </conditionalFormatting>
  <conditionalFormatting sqref="G24">
    <cfRule type="expression" dxfId="294" priority="115" stopIfTrue="1">
      <formula>OR(($A24="Samstag"),($A24="Sonntag"))</formula>
    </cfRule>
  </conditionalFormatting>
  <conditionalFormatting sqref="G25">
    <cfRule type="expression" dxfId="293" priority="114" stopIfTrue="1">
      <formula>OR(($A25="Samstag"),($A25="Sonntag"))</formula>
    </cfRule>
  </conditionalFormatting>
  <conditionalFormatting sqref="G39">
    <cfRule type="expression" dxfId="292" priority="111" stopIfTrue="1">
      <formula>OR(($A39="Samstag"),($A39="Sonntag"))</formula>
    </cfRule>
  </conditionalFormatting>
  <conditionalFormatting sqref="G39">
    <cfRule type="expression" dxfId="291" priority="112" stopIfTrue="1">
      <formula>OR(($A39="Samstag"),($A39="Sonntag"))</formula>
    </cfRule>
  </conditionalFormatting>
  <conditionalFormatting sqref="G39">
    <cfRule type="expression" dxfId="290" priority="110" stopIfTrue="1">
      <formula>OR(($A39="Samstag"),($A39="Sonntag"))</formula>
    </cfRule>
  </conditionalFormatting>
  <conditionalFormatting sqref="G46">
    <cfRule type="expression" dxfId="289" priority="108" stopIfTrue="1">
      <formula>OR(($A46="Samstag"),($A46="Sonntag"))</formula>
    </cfRule>
  </conditionalFormatting>
  <conditionalFormatting sqref="G46">
    <cfRule type="expression" dxfId="288" priority="107" stopIfTrue="1">
      <formula>OR(($A46="Samstag"),($A46="Sonntag"))</formula>
    </cfRule>
  </conditionalFormatting>
  <conditionalFormatting sqref="F22:H52">
    <cfRule type="expression" dxfId="287" priority="104" stopIfTrue="1">
      <formula>OR(($A22="Samstag"),($A22="Sonntag"))</formula>
    </cfRule>
  </conditionalFormatting>
  <conditionalFormatting sqref="F22:H52">
    <cfRule type="expression" dxfId="286" priority="103" stopIfTrue="1">
      <formula>OR(($A22="Samstag"),($A22="Sonntag"))</formula>
    </cfRule>
  </conditionalFormatting>
  <conditionalFormatting sqref="G31">
    <cfRule type="expression" dxfId="285" priority="102" stopIfTrue="1">
      <formula>OR(($A31="Samstag"),($A31="Sonntag"))</formula>
    </cfRule>
  </conditionalFormatting>
  <conditionalFormatting sqref="G31">
    <cfRule type="expression" dxfId="284" priority="101" stopIfTrue="1">
      <formula>OR(($A31="Samstag"),($A31="Sonntag"))</formula>
    </cfRule>
  </conditionalFormatting>
  <conditionalFormatting sqref="G38">
    <cfRule type="expression" dxfId="283" priority="100" stopIfTrue="1">
      <formula>OR(($A38="Samstag"),($A38="Sonntag"))</formula>
    </cfRule>
  </conditionalFormatting>
  <conditionalFormatting sqref="G38">
    <cfRule type="expression" dxfId="282" priority="99" stopIfTrue="1">
      <formula>OR(($A38="Samstag"),($A38="Sonntag"))</formula>
    </cfRule>
  </conditionalFormatting>
  <conditionalFormatting sqref="G45">
    <cfRule type="expression" dxfId="281" priority="98" stopIfTrue="1">
      <formula>OR(($A45="Samstag"),($A45="Sonntag"))</formula>
    </cfRule>
  </conditionalFormatting>
  <conditionalFormatting sqref="G45">
    <cfRule type="expression" dxfId="280" priority="97" stopIfTrue="1">
      <formula>OR(($A45="Samstag"),($A45="Sonntag"))</formula>
    </cfRule>
  </conditionalFormatting>
  <conditionalFormatting sqref="G40:G44">
    <cfRule type="expression" dxfId="279" priority="90" stopIfTrue="1">
      <formula>OR(($A40="Samstag"),($A40="Sonntag"))</formula>
    </cfRule>
  </conditionalFormatting>
  <conditionalFormatting sqref="G40:G44">
    <cfRule type="expression" dxfId="278" priority="89" stopIfTrue="1">
      <formula>OR(($A40="Samstag"),($A40="Sonntag"))</formula>
    </cfRule>
  </conditionalFormatting>
  <conditionalFormatting sqref="G23">
    <cfRule type="expression" dxfId="277" priority="96" stopIfTrue="1">
      <formula>OR(($A23="Samstag"),($A23="Sonntag"))</formula>
    </cfRule>
  </conditionalFormatting>
  <conditionalFormatting sqref="G23">
    <cfRule type="expression" dxfId="276" priority="95" stopIfTrue="1">
      <formula>OR(($A23="Samstag"),($A23="Sonntag"))</formula>
    </cfRule>
  </conditionalFormatting>
  <conditionalFormatting sqref="G26:G30">
    <cfRule type="expression" dxfId="275" priority="94" stopIfTrue="1">
      <formula>OR(($A26="Samstag"),($A26="Sonntag"))</formula>
    </cfRule>
  </conditionalFormatting>
  <conditionalFormatting sqref="G26:G30">
    <cfRule type="expression" dxfId="274" priority="93" stopIfTrue="1">
      <formula>OR(($A26="Samstag"),($A26="Sonntag"))</formula>
    </cfRule>
  </conditionalFormatting>
  <conditionalFormatting sqref="G33:G37">
    <cfRule type="expression" dxfId="273" priority="92" stopIfTrue="1">
      <formula>OR(($A33="Samstag"),($A33="Sonntag"))</formula>
    </cfRule>
  </conditionalFormatting>
  <conditionalFormatting sqref="G33:G37">
    <cfRule type="expression" dxfId="272" priority="91" stopIfTrue="1">
      <formula>OR(($A33="Samstag"),($A33="Sonntag"))</formula>
    </cfRule>
  </conditionalFormatting>
  <conditionalFormatting sqref="G47:G51">
    <cfRule type="expression" dxfId="271" priority="88" stopIfTrue="1">
      <formula>OR(($A47="Samstag"),($A47="Sonntag"))</formula>
    </cfRule>
  </conditionalFormatting>
  <conditionalFormatting sqref="G47:G51">
    <cfRule type="expression" dxfId="270" priority="87" stopIfTrue="1">
      <formula>OR(($A47="Samstag"),($A47="Sonntag"))</formula>
    </cfRule>
  </conditionalFormatting>
  <conditionalFormatting sqref="H32">
    <cfRule type="expression" dxfId="269" priority="86" stopIfTrue="1">
      <formula>OR(($A32="Samstag"),($A32="Sonntag"))</formula>
    </cfRule>
  </conditionalFormatting>
  <conditionalFormatting sqref="H32">
    <cfRule type="expression" dxfId="268" priority="85" stopIfTrue="1">
      <formula>OR(($A32="Samstag"),($A32="Sonntag"))</formula>
    </cfRule>
  </conditionalFormatting>
  <conditionalFormatting sqref="H52">
    <cfRule type="expression" dxfId="267" priority="74" stopIfTrue="1">
      <formula>OR(($A52="Samstag"),($A52="Sonntag"))</formula>
    </cfRule>
  </conditionalFormatting>
  <conditionalFormatting sqref="H52">
    <cfRule type="expression" dxfId="266" priority="73" stopIfTrue="1">
      <formula>OR(($A52="Samstag"),($A52="Sonntag"))</formula>
    </cfRule>
  </conditionalFormatting>
  <conditionalFormatting sqref="H46">
    <cfRule type="expression" dxfId="265" priority="77" stopIfTrue="1">
      <formula>OR(($A46="Samstag"),($A46="Sonntag"))</formula>
    </cfRule>
  </conditionalFormatting>
  <conditionalFormatting sqref="H32">
    <cfRule type="expression" dxfId="264" priority="81" stopIfTrue="1">
      <formula>OR(($A32="Samstag"),($A32="Sonntag"))</formula>
    </cfRule>
  </conditionalFormatting>
  <conditionalFormatting sqref="H24:H25">
    <cfRule type="expression" dxfId="263" priority="84" stopIfTrue="1">
      <formula>OR(($A24="Samstag"),($A24="Sonntag"))</formula>
    </cfRule>
  </conditionalFormatting>
  <conditionalFormatting sqref="H24">
    <cfRule type="expression" dxfId="262" priority="83" stopIfTrue="1">
      <formula>OR(($A24="Samstag"),($A24="Sonntag"))</formula>
    </cfRule>
  </conditionalFormatting>
  <conditionalFormatting sqref="H25">
    <cfRule type="expression" dxfId="261" priority="82" stopIfTrue="1">
      <formula>OR(($A25="Samstag"),($A25="Sonntag"))</formula>
    </cfRule>
  </conditionalFormatting>
  <conditionalFormatting sqref="H39">
    <cfRule type="expression" dxfId="260" priority="79" stopIfTrue="1">
      <formula>OR(($A39="Samstag"),($A39="Sonntag"))</formula>
    </cfRule>
  </conditionalFormatting>
  <conditionalFormatting sqref="H39">
    <cfRule type="expression" dxfId="259" priority="80" stopIfTrue="1">
      <formula>OR(($A39="Samstag"),($A39="Sonntag"))</formula>
    </cfRule>
  </conditionalFormatting>
  <conditionalFormatting sqref="H39">
    <cfRule type="expression" dxfId="258" priority="78" stopIfTrue="1">
      <formula>OR(($A39="Samstag"),($A39="Sonntag"))</formula>
    </cfRule>
  </conditionalFormatting>
  <conditionalFormatting sqref="H46">
    <cfRule type="expression" dxfId="257" priority="76" stopIfTrue="1">
      <formula>OR(($A46="Samstag"),($A46="Sonntag"))</formula>
    </cfRule>
  </conditionalFormatting>
  <conditionalFormatting sqref="H46">
    <cfRule type="expression" dxfId="256" priority="75" stopIfTrue="1">
      <formula>OR(($A46="Samstag"),($A46="Sonntag"))</formula>
    </cfRule>
  </conditionalFormatting>
  <conditionalFormatting sqref="H22:H52">
    <cfRule type="expression" dxfId="255" priority="72" stopIfTrue="1">
      <formula>OR(($A22="Samstag"),($A22="Sonntag"))</formula>
    </cfRule>
  </conditionalFormatting>
  <conditionalFormatting sqref="H22:H52">
    <cfRule type="expression" dxfId="254" priority="71" stopIfTrue="1">
      <formula>OR(($A22="Samstag"),($A22="Sonntag"))</formula>
    </cfRule>
  </conditionalFormatting>
  <conditionalFormatting sqref="H31">
    <cfRule type="expression" dxfId="253" priority="70" stopIfTrue="1">
      <formula>OR(($A31="Samstag"),($A31="Sonntag"))</formula>
    </cfRule>
  </conditionalFormatting>
  <conditionalFormatting sqref="H31">
    <cfRule type="expression" dxfId="252" priority="69" stopIfTrue="1">
      <formula>OR(($A31="Samstag"),($A31="Sonntag"))</formula>
    </cfRule>
  </conditionalFormatting>
  <conditionalFormatting sqref="H38">
    <cfRule type="expression" dxfId="251" priority="68" stopIfTrue="1">
      <formula>OR(($A38="Samstag"),($A38="Sonntag"))</formula>
    </cfRule>
  </conditionalFormatting>
  <conditionalFormatting sqref="H38">
    <cfRule type="expression" dxfId="250" priority="67" stopIfTrue="1">
      <formula>OR(($A38="Samstag"),($A38="Sonntag"))</formula>
    </cfRule>
  </conditionalFormatting>
  <conditionalFormatting sqref="H45">
    <cfRule type="expression" dxfId="249" priority="66" stopIfTrue="1">
      <formula>OR(($A45="Samstag"),($A45="Sonntag"))</formula>
    </cfRule>
  </conditionalFormatting>
  <conditionalFormatting sqref="H45">
    <cfRule type="expression" dxfId="248" priority="65" stopIfTrue="1">
      <formula>OR(($A45="Samstag"),($A45="Sonntag"))</formula>
    </cfRule>
  </conditionalFormatting>
  <conditionalFormatting sqref="H40:H44">
    <cfRule type="expression" dxfId="247" priority="58" stopIfTrue="1">
      <formula>OR(($A40="Samstag"),($A40="Sonntag"))</formula>
    </cfRule>
  </conditionalFormatting>
  <conditionalFormatting sqref="H40:H44">
    <cfRule type="expression" dxfId="246" priority="57" stopIfTrue="1">
      <formula>OR(($A40="Samstag"),($A40="Sonntag"))</formula>
    </cfRule>
  </conditionalFormatting>
  <conditionalFormatting sqref="H23">
    <cfRule type="expression" dxfId="245" priority="64" stopIfTrue="1">
      <formula>OR(($A23="Samstag"),($A23="Sonntag"))</formula>
    </cfRule>
  </conditionalFormatting>
  <conditionalFormatting sqref="H23">
    <cfRule type="expression" dxfId="244" priority="63" stopIfTrue="1">
      <formula>OR(($A23="Samstag"),($A23="Sonntag"))</formula>
    </cfRule>
  </conditionalFormatting>
  <conditionalFormatting sqref="H26:H30">
    <cfRule type="expression" dxfId="243" priority="62" stopIfTrue="1">
      <formula>OR(($A26="Samstag"),($A26="Sonntag"))</formula>
    </cfRule>
  </conditionalFormatting>
  <conditionalFormatting sqref="H26:H30">
    <cfRule type="expression" dxfId="242" priority="61" stopIfTrue="1">
      <formula>OR(($A26="Samstag"),($A26="Sonntag"))</formula>
    </cfRule>
  </conditionalFormatting>
  <conditionalFormatting sqref="H33:H37">
    <cfRule type="expression" dxfId="241" priority="60" stopIfTrue="1">
      <formula>OR(($A33="Samstag"),($A33="Sonntag"))</formula>
    </cfRule>
  </conditionalFormatting>
  <conditionalFormatting sqref="H33:H37">
    <cfRule type="expression" dxfId="240" priority="59" stopIfTrue="1">
      <formula>OR(($A33="Samstag"),($A33="Sonntag"))</formula>
    </cfRule>
  </conditionalFormatting>
  <conditionalFormatting sqref="H47:H51">
    <cfRule type="expression" dxfId="239" priority="56" stopIfTrue="1">
      <formula>OR(($A47="Samstag"),($A47="Sonntag"))</formula>
    </cfRule>
  </conditionalFormatting>
  <conditionalFormatting sqref="H47:H51">
    <cfRule type="expression" dxfId="238" priority="55" stopIfTrue="1">
      <formula>OR(($A47="Samstag"),($A47="Sonntag"))</formula>
    </cfRule>
  </conditionalFormatting>
  <conditionalFormatting sqref="F23:H52">
    <cfRule type="expression" dxfId="237" priority="54" stopIfTrue="1">
      <formula>OR(($A23="Samstag"),($A23="Sonntag"))</formula>
    </cfRule>
  </conditionalFormatting>
  <conditionalFormatting sqref="F23:H52">
    <cfRule type="expression" dxfId="236" priority="53" stopIfTrue="1">
      <formula>OR(($A23="Samstag"),($A23="Sonntag"))</formula>
    </cfRule>
  </conditionalFormatting>
  <conditionalFormatting sqref="I22:I52">
    <cfRule type="expression" dxfId="235" priority="38">
      <formula>(I22&gt;10)</formula>
    </cfRule>
    <cfRule type="expression" dxfId="234" priority="49" stopIfTrue="1">
      <formula>OR(($A22="Samstag"),($A22="Sonntag"))</formula>
    </cfRule>
    <cfRule type="expression" dxfId="233" priority="50" stopIfTrue="1">
      <formula>OR(($A22="Samstag"),($A22="Sonntag"))</formula>
    </cfRule>
    <cfRule type="expression" dxfId="232" priority="52" stopIfTrue="1">
      <formula>OR(($A22="Samstag"),($A22="Sonntag"))</formula>
    </cfRule>
  </conditionalFormatting>
  <conditionalFormatting sqref="I22:I52">
    <cfRule type="expression" dxfId="231" priority="51" stopIfTrue="1">
      <formula>OR(($A22="Samstag"),($A22="Sonntag"))</formula>
    </cfRule>
  </conditionalFormatting>
  <conditionalFormatting sqref="K56:P59">
    <cfRule type="expression" dxfId="230" priority="48">
      <formula>OR(ISERROR($K$55),($K$55&gt;""))</formula>
    </cfRule>
  </conditionalFormatting>
  <conditionalFormatting sqref="L44:L52">
    <cfRule type="expression" dxfId="229" priority="44" stopIfTrue="1">
      <formula>OR(($A44="Samstag"),($A44="Sonntag"))</formula>
    </cfRule>
  </conditionalFormatting>
  <conditionalFormatting sqref="L44:L52">
    <cfRule type="expression" dxfId="228" priority="47" stopIfTrue="1">
      <formula>OR(($A44="Samstag"),($A44="Sonntag"))</formula>
    </cfRule>
  </conditionalFormatting>
  <conditionalFormatting sqref="L44:L52">
    <cfRule type="expression" dxfId="227" priority="46" stopIfTrue="1">
      <formula>OR(($A44="Samstag"),($A44="Sonntag"))</formula>
    </cfRule>
  </conditionalFormatting>
  <conditionalFormatting sqref="L44:L52">
    <cfRule type="expression" dxfId="226" priority="45" stopIfTrue="1">
      <formula>OR(($A44="Samstag"),($A44="Sonntag"))</formula>
    </cfRule>
  </conditionalFormatting>
  <conditionalFormatting sqref="L22">
    <cfRule type="expression" dxfId="225" priority="43" stopIfTrue="1">
      <formula>OR(($A22="Samstag"),($A22="Sonntag"),($AA22=TRUE()))</formula>
    </cfRule>
  </conditionalFormatting>
  <conditionalFormatting sqref="L22">
    <cfRule type="expression" dxfId="224" priority="42" stopIfTrue="1">
      <formula>OR(($A22="Samstag"),($A22="Sonntag"))</formula>
    </cfRule>
  </conditionalFormatting>
  <conditionalFormatting sqref="L40:L43">
    <cfRule type="expression" dxfId="223" priority="41" stopIfTrue="1">
      <formula>OR(($A40="Samstag"),($A40="Sonntag"),($AA40=TRUE()))</formula>
    </cfRule>
  </conditionalFormatting>
  <conditionalFormatting sqref="L40:L43">
    <cfRule type="expression" dxfId="222" priority="40" stopIfTrue="1">
      <formula>OR(($A40="Samstag"),($A40="Sonntag"))</formula>
    </cfRule>
  </conditionalFormatting>
  <conditionalFormatting sqref="G22:G52">
    <cfRule type="expression" dxfId="221" priority="39">
      <formula>OR(AND(I22&gt;6,G22&lt;TIME(0,30,0)),AND(I22&gt;9,G22&lt;TIME(0,45,0)))</formula>
    </cfRule>
  </conditionalFormatting>
  <conditionalFormatting sqref="J22:K52">
    <cfRule type="expression" dxfId="220" priority="37" stopIfTrue="1">
      <formula>OR(($A22="Samstag"),($A22="Sonntag"),($AA22=TRUE()))</formula>
    </cfRule>
  </conditionalFormatting>
  <conditionalFormatting sqref="J22:J52">
    <cfRule type="expression" dxfId="219" priority="36" stopIfTrue="1">
      <formula>OR(($A22="Samstag"),($A22="Sonntag"))</formula>
    </cfRule>
  </conditionalFormatting>
  <conditionalFormatting sqref="J22:J52">
    <cfRule type="expression" dxfId="218" priority="35" stopIfTrue="1">
      <formula>OR(($A22="Samstag"),($A22="Sonntag"))</formula>
    </cfRule>
  </conditionalFormatting>
  <conditionalFormatting sqref="K32">
    <cfRule type="expression" dxfId="217" priority="34" stopIfTrue="1">
      <formula>OR(($A32="Samstag"),($A32="Sonntag"))</formula>
    </cfRule>
  </conditionalFormatting>
  <conditionalFormatting sqref="K32">
    <cfRule type="expression" dxfId="216" priority="33" stopIfTrue="1">
      <formula>OR(($A32="Samstag"),($A32="Sonntag"))</formula>
    </cfRule>
  </conditionalFormatting>
  <conditionalFormatting sqref="K52">
    <cfRule type="expression" dxfId="215" priority="22" stopIfTrue="1">
      <formula>OR(($A52="Samstag"),($A52="Sonntag"))</formula>
    </cfRule>
  </conditionalFormatting>
  <conditionalFormatting sqref="K52">
    <cfRule type="expression" dxfId="214" priority="21" stopIfTrue="1">
      <formula>OR(($A52="Samstag"),($A52="Sonntag"))</formula>
    </cfRule>
  </conditionalFormatting>
  <conditionalFormatting sqref="K46">
    <cfRule type="expression" dxfId="213" priority="25" stopIfTrue="1">
      <formula>OR(($A46="Samstag"),($A46="Sonntag"))</formula>
    </cfRule>
  </conditionalFormatting>
  <conditionalFormatting sqref="K32">
    <cfRule type="expression" dxfId="212" priority="29" stopIfTrue="1">
      <formula>OR(($A32="Samstag"),($A32="Sonntag"))</formula>
    </cfRule>
  </conditionalFormatting>
  <conditionalFormatting sqref="K24:K25">
    <cfRule type="expression" dxfId="211" priority="32" stopIfTrue="1">
      <formula>OR(($A24="Samstag"),($A24="Sonntag"))</formula>
    </cfRule>
  </conditionalFormatting>
  <conditionalFormatting sqref="K24">
    <cfRule type="expression" dxfId="210" priority="31" stopIfTrue="1">
      <formula>OR(($A24="Samstag"),($A24="Sonntag"))</formula>
    </cfRule>
  </conditionalFormatting>
  <conditionalFormatting sqref="K25">
    <cfRule type="expression" dxfId="209" priority="30" stopIfTrue="1">
      <formula>OR(($A25="Samstag"),($A25="Sonntag"))</formula>
    </cfRule>
  </conditionalFormatting>
  <conditionalFormatting sqref="K39">
    <cfRule type="expression" dxfId="208" priority="27" stopIfTrue="1">
      <formula>OR(($A39="Samstag"),($A39="Sonntag"))</formula>
    </cfRule>
  </conditionalFormatting>
  <conditionalFormatting sqref="K39">
    <cfRule type="expression" dxfId="207" priority="28" stopIfTrue="1">
      <formula>OR(($A39="Samstag"),($A39="Sonntag"))</formula>
    </cfRule>
  </conditionalFormatting>
  <conditionalFormatting sqref="K39">
    <cfRule type="expression" dxfId="206" priority="26" stopIfTrue="1">
      <formula>OR(($A39="Samstag"),($A39="Sonntag"))</formula>
    </cfRule>
  </conditionalFormatting>
  <conditionalFormatting sqref="K46">
    <cfRule type="expression" dxfId="205" priority="24" stopIfTrue="1">
      <formula>OR(($A46="Samstag"),($A46="Sonntag"))</formula>
    </cfRule>
  </conditionalFormatting>
  <conditionalFormatting sqref="K46">
    <cfRule type="expression" dxfId="204" priority="23" stopIfTrue="1">
      <formula>OR(($A46="Samstag"),($A46="Sonntag"))</formula>
    </cfRule>
  </conditionalFormatting>
  <conditionalFormatting sqref="K22:K52">
    <cfRule type="expression" dxfId="203" priority="20" stopIfTrue="1">
      <formula>OR(($A22="Samstag"),($A22="Sonntag"))</formula>
    </cfRule>
  </conditionalFormatting>
  <conditionalFormatting sqref="K22:K52">
    <cfRule type="expression" dxfId="202" priority="19" stopIfTrue="1">
      <formula>OR(($A22="Samstag"),($A22="Sonntag"))</formula>
    </cfRule>
  </conditionalFormatting>
  <conditionalFormatting sqref="K31">
    <cfRule type="expression" dxfId="201" priority="18" stopIfTrue="1">
      <formula>OR(($A31="Samstag"),($A31="Sonntag"))</formula>
    </cfRule>
  </conditionalFormatting>
  <conditionalFormatting sqref="K31">
    <cfRule type="expression" dxfId="200" priority="17" stopIfTrue="1">
      <formula>OR(($A31="Samstag"),($A31="Sonntag"))</formula>
    </cfRule>
  </conditionalFormatting>
  <conditionalFormatting sqref="K38">
    <cfRule type="expression" dxfId="199" priority="16" stopIfTrue="1">
      <formula>OR(($A38="Samstag"),($A38="Sonntag"))</formula>
    </cfRule>
  </conditionalFormatting>
  <conditionalFormatting sqref="K38">
    <cfRule type="expression" dxfId="198" priority="15" stopIfTrue="1">
      <formula>OR(($A38="Samstag"),($A38="Sonntag"))</formula>
    </cfRule>
  </conditionalFormatting>
  <conditionalFormatting sqref="K45">
    <cfRule type="expression" dxfId="197" priority="14" stopIfTrue="1">
      <formula>OR(($A45="Samstag"),($A45="Sonntag"))</formula>
    </cfRule>
  </conditionalFormatting>
  <conditionalFormatting sqref="K45">
    <cfRule type="expression" dxfId="196" priority="13" stopIfTrue="1">
      <formula>OR(($A45="Samstag"),($A45="Sonntag"))</formula>
    </cfRule>
  </conditionalFormatting>
  <conditionalFormatting sqref="K40:K44">
    <cfRule type="expression" dxfId="195" priority="6" stopIfTrue="1">
      <formula>OR(($A40="Samstag"),($A40="Sonntag"))</formula>
    </cfRule>
  </conditionalFormatting>
  <conditionalFormatting sqref="K40:K44">
    <cfRule type="expression" dxfId="194" priority="5" stopIfTrue="1">
      <formula>OR(($A40="Samstag"),($A40="Sonntag"))</formula>
    </cfRule>
  </conditionalFormatting>
  <conditionalFormatting sqref="K23">
    <cfRule type="expression" dxfId="193" priority="12" stopIfTrue="1">
      <formula>OR(($A23="Samstag"),($A23="Sonntag"))</formula>
    </cfRule>
  </conditionalFormatting>
  <conditionalFormatting sqref="K23">
    <cfRule type="expression" dxfId="192" priority="11" stopIfTrue="1">
      <formula>OR(($A23="Samstag"),($A23="Sonntag"))</formula>
    </cfRule>
  </conditionalFormatting>
  <conditionalFormatting sqref="K26:K30">
    <cfRule type="expression" dxfId="191" priority="10" stopIfTrue="1">
      <formula>OR(($A26="Samstag"),($A26="Sonntag"))</formula>
    </cfRule>
  </conditionalFormatting>
  <conditionalFormatting sqref="K26:K30">
    <cfRule type="expression" dxfId="190" priority="9" stopIfTrue="1">
      <formula>OR(($A26="Samstag"),($A26="Sonntag"))</formula>
    </cfRule>
  </conditionalFormatting>
  <conditionalFormatting sqref="K33:K37">
    <cfRule type="expression" dxfId="189" priority="8" stopIfTrue="1">
      <formula>OR(($A33="Samstag"),($A33="Sonntag"))</formula>
    </cfRule>
  </conditionalFormatting>
  <conditionalFormatting sqref="K33:K37">
    <cfRule type="expression" dxfId="188" priority="7" stopIfTrue="1">
      <formula>OR(($A33="Samstag"),($A33="Sonntag"))</formula>
    </cfRule>
  </conditionalFormatting>
  <conditionalFormatting sqref="K47:K51">
    <cfRule type="expression" dxfId="187" priority="4" stopIfTrue="1">
      <formula>OR(($A47="Samstag"),($A47="Sonntag"))</formula>
    </cfRule>
  </conditionalFormatting>
  <conditionalFormatting sqref="K47:K51">
    <cfRule type="expression" dxfId="186" priority="3" stopIfTrue="1">
      <formula>OR(($A47="Samstag"),($A47="Sonntag"))</formula>
    </cfRule>
  </conditionalFormatting>
  <conditionalFormatting sqref="J22:J52">
    <cfRule type="expression" dxfId="185" priority="2" stopIfTrue="1">
      <formula>OR(($A22="Samstag"),($A22="Sonntag"))</formula>
    </cfRule>
  </conditionalFormatting>
  <conditionalFormatting sqref="J22:J52">
    <cfRule type="expression" dxfId="184" priority="1" stopIfTrue="1">
      <formula>OR(($A22="Samstag"),($A22="Sonntag"))</formula>
    </cfRule>
  </conditionalFormatting>
  <dataValidations count="8">
    <dataValidation type="decimal" allowBlank="1" showInputMessage="1" showErrorMessage="1" errorTitle="Eingabefehler" error="Bitte geben Sie eine positive Dezimalzahl ein." sqref="D22:D52">
      <formula1>0</formula1>
      <formula2>20</formula2>
    </dataValidation>
    <dataValidation type="decimal" allowBlank="1" showInputMessage="1" showErrorMessage="1" sqref="I16:M16 I12:M12">
      <formula1>$AA$35</formula1>
      <formula2>$AA$36</formula2>
    </dataValidation>
    <dataValidation showInputMessage="1" showErrorMessage="1" sqref="G10:I10"/>
    <dataValidation type="list" allowBlank="1" showInputMessage="1" showErrorMessage="1" sqref="E17:F17">
      <formula1>$B$22:$B$52</formula1>
    </dataValidation>
    <dataValidation type="list" showInputMessage="1" showErrorMessage="1" sqref="C22:C52">
      <formula1>Auswahlart</formula1>
    </dataValidation>
    <dataValidation type="custom" allowBlank="1" showInputMessage="1" showErrorMessage="1" errorTitle="Eingabefehler" error="Bitte geben Sie eine Uhrzeit ( hh:mm ) zwischen 0:00 und 23:59 ein. Bitte beachten Sie, dass eine Eingabe an Wochenenden sowie an Tagen mit dem Status &quot;bezahlt abwesend&quot; nicht möglich ist." sqref="F22:H52">
      <formula1>AND(ISNUMBER(F22),DAY($B22)&gt;0,NOT(AND($C22="BA",NOT($S$8))),NOT(AND(OR($A22="Sonntag",$A22="Samstag"),NOT($S$7))),F22&gt;=TIME(0,0,0),F22&lt;=TIME(23,59,59))</formula1>
    </dataValidation>
    <dataValidation type="decimal" allowBlank="1" showInputMessage="1" showErrorMessage="1" sqref="M7:O7">
      <formula1>-9999999</formula1>
      <formula2>9999999</formula2>
    </dataValidation>
    <dataValidation type="decimal" allowBlank="1" showInputMessage="1" showErrorMessage="1" sqref="F12 F16 I13:M13 I17:M17">
      <formula1>0</formula1>
      <formula2>45</formula2>
    </dataValidation>
  </dataValidations>
  <pageMargins left="0.43307086614173229" right="0.23622047244094491" top="0.89" bottom="0.54" header="0.4" footer="0.31496062992125984"/>
  <pageSetup paperSize="9" scale="65" orientation="portrait" r:id="rId1"/>
  <headerFooter differentFirst="1" alignWithMargins="0">
    <firstHeader>&amp;L&amp;G</firstHeader>
  </headerFooter>
  <drawing r:id="rId2"/>
  <legacyDrawing r:id="rId3"/>
  <legacyDrawingHF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3">
    <pageSetUpPr fitToPage="1"/>
  </sheetPr>
  <dimension ref="A1:IR80"/>
  <sheetViews>
    <sheetView showGridLines="0" showRowColHeaders="0" zoomScaleNormal="100" zoomScaleSheetLayoutView="55" workbookViewId="0">
      <selection activeCell="C29" sqref="C29"/>
    </sheetView>
  </sheetViews>
  <sheetFormatPr baseColWidth="10" defaultColWidth="6.25" defaultRowHeight="0" customHeight="1" zeroHeight="1"/>
  <cols>
    <col min="1" max="1" width="5" style="6" customWidth="1"/>
    <col min="2" max="2" width="11.25" style="57" customWidth="1"/>
    <col min="3" max="3" width="7.5" style="57" customWidth="1"/>
    <col min="4" max="8" width="7.75" style="57" customWidth="1"/>
    <col min="9" max="13" width="8.125" style="57" customWidth="1"/>
    <col min="14" max="14" width="7.5" style="57" customWidth="1"/>
    <col min="15" max="15" width="10" style="57" customWidth="1"/>
    <col min="16" max="16" width="7.5" style="24" customWidth="1"/>
    <col min="17" max="17" width="5" style="24" customWidth="1"/>
    <col min="18" max="18" width="10.125" style="6" customWidth="1"/>
    <col min="19" max="19" width="7.5" style="6" bestFit="1" customWidth="1"/>
    <col min="20" max="20" width="8.5" style="6" bestFit="1" customWidth="1"/>
    <col min="21" max="21" width="7.25" style="6" bestFit="1" customWidth="1"/>
    <col min="22" max="22" width="7.75" style="6" bestFit="1" customWidth="1"/>
    <col min="23" max="23" width="7.5" style="6" bestFit="1" customWidth="1"/>
    <col min="24" max="24" width="8.125" style="6" bestFit="1" customWidth="1"/>
    <col min="25" max="25" width="7.25" style="6" bestFit="1" customWidth="1"/>
    <col min="26" max="26" width="7.25" style="6" customWidth="1"/>
    <col min="27" max="27" width="10.5" style="68" customWidth="1"/>
    <col min="28" max="28" width="9.875" style="68" customWidth="1"/>
    <col min="29" max="29" width="11.125" style="6" customWidth="1"/>
    <col min="30" max="31" width="11.125" style="95" customWidth="1"/>
    <col min="32" max="34" width="6.25" style="96" customWidth="1"/>
    <col min="35" max="252" width="6.25" style="3" customWidth="1"/>
    <col min="253" max="16384" width="6.25" style="3"/>
  </cols>
  <sheetData>
    <row r="1" spans="1:34" ht="11.25" customHeight="1">
      <c r="A1" s="3"/>
      <c r="B1" s="92"/>
      <c r="C1" s="92"/>
      <c r="D1" s="92"/>
      <c r="E1" s="92"/>
      <c r="F1" s="92"/>
      <c r="G1" s="92"/>
      <c r="H1" s="92"/>
      <c r="I1" s="92"/>
      <c r="J1" s="92"/>
      <c r="K1" s="92"/>
      <c r="L1" s="92"/>
      <c r="M1" s="92"/>
      <c r="N1" s="92"/>
      <c r="O1" s="92"/>
      <c r="P1" s="8"/>
      <c r="Q1" s="154"/>
      <c r="R1" s="154"/>
      <c r="S1" s="69"/>
      <c r="T1" s="69"/>
      <c r="U1" s="69"/>
      <c r="V1" s="3"/>
      <c r="W1" s="3"/>
      <c r="X1" s="3"/>
      <c r="Y1" s="3"/>
      <c r="Z1" s="3"/>
      <c r="AA1" s="3"/>
      <c r="AB1" s="3"/>
      <c r="AC1" s="3"/>
      <c r="AD1" s="3"/>
      <c r="AE1" s="3"/>
      <c r="AF1" s="3"/>
      <c r="AG1" s="3"/>
      <c r="AH1" s="3"/>
    </row>
    <row r="2" spans="1:34" ht="18.75" customHeight="1">
      <c r="A2" s="3"/>
      <c r="B2" s="221" t="s">
        <v>9</v>
      </c>
      <c r="C2" s="221"/>
      <c r="D2" s="221"/>
      <c r="E2" s="221"/>
      <c r="F2" s="221"/>
      <c r="G2" s="221"/>
      <c r="H2" s="221"/>
      <c r="I2" s="221" t="s">
        <v>41</v>
      </c>
      <c r="J2" s="221"/>
      <c r="K2" s="278">
        <f>Übersicht!K2</f>
        <v>2017</v>
      </c>
      <c r="L2" s="278"/>
      <c r="M2" s="93"/>
      <c r="N2" s="93"/>
      <c r="O2" s="93"/>
      <c r="P2" s="94"/>
      <c r="Q2" s="154"/>
      <c r="R2" s="154"/>
      <c r="S2" s="69"/>
      <c r="T2" s="69"/>
      <c r="U2" s="69"/>
      <c r="V2" s="3"/>
      <c r="W2" s="3"/>
      <c r="X2" s="3"/>
      <c r="Y2" s="3"/>
      <c r="Z2" s="3"/>
      <c r="AA2" s="3"/>
      <c r="AB2" s="3"/>
      <c r="AC2" s="3"/>
      <c r="AD2" s="3"/>
      <c r="AE2" s="3"/>
      <c r="AF2" s="3"/>
      <c r="AG2" s="3"/>
      <c r="AH2" s="3"/>
    </row>
    <row r="3" spans="1:34" ht="11.25" customHeight="1">
      <c r="A3" s="3"/>
      <c r="B3" s="10"/>
      <c r="C3" s="10"/>
      <c r="D3" s="10"/>
      <c r="E3" s="10"/>
      <c r="F3" s="10"/>
      <c r="G3" s="10"/>
      <c r="H3" s="10"/>
      <c r="I3" s="10"/>
      <c r="J3" s="10"/>
      <c r="K3" s="10"/>
      <c r="L3" s="10"/>
      <c r="M3" s="10"/>
      <c r="N3" s="10"/>
      <c r="O3" s="10"/>
      <c r="P3" s="8"/>
      <c r="Q3" s="154"/>
      <c r="R3" s="154"/>
      <c r="S3" s="69"/>
      <c r="T3" s="69"/>
      <c r="U3" s="69"/>
      <c r="V3" s="3"/>
      <c r="W3" s="3"/>
      <c r="X3" s="3"/>
      <c r="Y3" s="3"/>
      <c r="Z3" s="3"/>
      <c r="AA3" s="3"/>
      <c r="AB3" s="3"/>
      <c r="AC3" s="3"/>
      <c r="AD3" s="3"/>
      <c r="AE3" s="3"/>
      <c r="AF3" s="3"/>
      <c r="AG3" s="3"/>
      <c r="AH3" s="3"/>
    </row>
    <row r="4" spans="1:34" ht="15" customHeight="1">
      <c r="A4" s="3"/>
      <c r="B4" s="11"/>
      <c r="C4" s="12"/>
      <c r="D4" s="12"/>
      <c r="E4" s="12"/>
      <c r="F4" s="12"/>
      <c r="G4" s="12"/>
      <c r="H4" s="12"/>
      <c r="I4" s="12"/>
      <c r="J4" s="12"/>
      <c r="K4" s="12"/>
      <c r="L4" s="12"/>
      <c r="M4" s="12"/>
      <c r="N4" s="12"/>
      <c r="O4" s="12"/>
      <c r="P4" s="13"/>
      <c r="Q4" s="154"/>
      <c r="R4" s="154"/>
      <c r="S4" s="69"/>
      <c r="T4" s="69"/>
      <c r="U4" s="69"/>
      <c r="V4" s="3"/>
      <c r="W4" s="3"/>
      <c r="X4" s="3"/>
      <c r="Y4" s="3"/>
      <c r="Z4" s="3"/>
      <c r="AA4" s="3"/>
      <c r="AB4" s="3"/>
      <c r="AC4" s="3"/>
      <c r="AD4" s="3"/>
      <c r="AE4" s="3"/>
      <c r="AF4" s="3"/>
      <c r="AG4" s="3"/>
      <c r="AH4" s="3"/>
    </row>
    <row r="5" spans="1:34" ht="22.5" customHeight="1">
      <c r="A5" s="3"/>
      <c r="B5" s="107"/>
      <c r="C5" s="25" t="s">
        <v>3</v>
      </c>
      <c r="D5" s="15"/>
      <c r="E5" s="258" t="str">
        <f>IF(Übersicht!E5&lt;&gt;"",Übersicht!E5,"")</f>
        <v>Jansen, David</v>
      </c>
      <c r="F5" s="259"/>
      <c r="G5" s="259"/>
      <c r="H5" s="260"/>
      <c r="I5" s="16"/>
      <c r="J5" s="25" t="s">
        <v>65</v>
      </c>
      <c r="K5" s="16"/>
      <c r="M5" s="261">
        <f>IF(Übersicht!M5&lt;&gt;"",Übersicht!M5,"")</f>
        <v>419510</v>
      </c>
      <c r="N5" s="262"/>
      <c r="O5" s="263"/>
      <c r="P5" s="17"/>
      <c r="Q5" s="155"/>
      <c r="R5" s="155"/>
      <c r="S5" s="68"/>
      <c r="T5" s="68"/>
      <c r="V5" s="3"/>
      <c r="W5" s="3"/>
      <c r="X5" s="3"/>
      <c r="Y5" s="3"/>
      <c r="Z5" s="3"/>
      <c r="AA5" s="3"/>
      <c r="AB5" s="3"/>
      <c r="AC5" s="3"/>
      <c r="AD5" s="3"/>
      <c r="AE5" s="3"/>
      <c r="AF5" s="3"/>
      <c r="AG5" s="3"/>
      <c r="AH5" s="3"/>
    </row>
    <row r="6" spans="1:34" ht="15">
      <c r="A6" s="3"/>
      <c r="B6" s="18"/>
      <c r="C6" s="19"/>
      <c r="D6" s="19"/>
      <c r="E6" s="19"/>
      <c r="F6" s="19"/>
      <c r="G6" s="20"/>
      <c r="H6" s="20"/>
      <c r="I6" s="16"/>
      <c r="J6" s="16"/>
      <c r="P6" s="23"/>
      <c r="Q6" s="156"/>
      <c r="R6" s="156"/>
      <c r="V6" s="3"/>
      <c r="W6" s="3"/>
      <c r="X6" s="3"/>
      <c r="Y6" s="3"/>
      <c r="Z6" s="3"/>
      <c r="AA6" s="3"/>
      <c r="AB6" s="3"/>
      <c r="AC6" s="3"/>
      <c r="AD6" s="3"/>
      <c r="AE6" s="3"/>
      <c r="AF6" s="3"/>
      <c r="AG6" s="3"/>
      <c r="AH6" s="3"/>
    </row>
    <row r="7" spans="1:34" ht="22.5" customHeight="1">
      <c r="A7" s="3"/>
      <c r="B7" s="107"/>
      <c r="C7" s="25" t="s">
        <v>7</v>
      </c>
      <c r="D7" s="16"/>
      <c r="E7" s="258" t="str">
        <f>IF(Übersicht!E7&lt;&gt;"",Übersicht!E7,"")</f>
        <v>Hiwi</v>
      </c>
      <c r="F7" s="259"/>
      <c r="G7" s="259"/>
      <c r="H7" s="260"/>
      <c r="I7" s="16"/>
      <c r="J7" s="25" t="s">
        <v>74</v>
      </c>
      <c r="K7" s="16"/>
      <c r="M7" s="272">
        <f>November!K54</f>
        <v>-213.25</v>
      </c>
      <c r="N7" s="285"/>
      <c r="O7" s="286"/>
      <c r="P7" s="23"/>
      <c r="Q7" s="156"/>
      <c r="R7" s="6" t="s">
        <v>81</v>
      </c>
      <c r="S7" s="211" t="b">
        <f>OR(IF(E7&gt;"",IF(MID(E7,LEN(E7)-1,2)="WE","WAHR",FALSE),FALSE),IF(E7&gt;"",IF(MID(E7,LEN(E7)-2,3)="WEF","WAHR",FALSE),FALSE))</f>
        <v>0</v>
      </c>
      <c r="V7" s="3"/>
      <c r="W7" s="3"/>
      <c r="X7" s="3"/>
      <c r="Y7" s="3"/>
      <c r="Z7" s="3"/>
      <c r="AA7" s="3"/>
      <c r="AB7" s="3"/>
      <c r="AC7" s="3"/>
      <c r="AD7" s="3"/>
      <c r="AE7" s="3"/>
      <c r="AF7" s="3"/>
      <c r="AG7" s="3"/>
      <c r="AH7" s="3"/>
    </row>
    <row r="8" spans="1:34" ht="22.5" customHeight="1">
      <c r="A8" s="3"/>
      <c r="B8" s="186"/>
      <c r="C8" s="187"/>
      <c r="D8" s="187"/>
      <c r="E8" s="187"/>
      <c r="F8" s="188"/>
      <c r="G8" s="189"/>
      <c r="H8" s="189"/>
      <c r="I8" s="189"/>
      <c r="J8" s="61"/>
      <c r="K8" s="61"/>
      <c r="L8" s="61"/>
      <c r="M8" s="61"/>
      <c r="N8" s="61"/>
      <c r="O8" s="61"/>
      <c r="P8" s="190"/>
      <c r="Q8" s="156"/>
      <c r="R8" s="6" t="s">
        <v>82</v>
      </c>
      <c r="S8" s="211" t="b">
        <f>IF(E7&gt;"",IF(MID(E7,LEN(E7)-2,3)="WEF","WAHR",FALSE),FALSE)</f>
        <v>0</v>
      </c>
      <c r="V8" s="3"/>
      <c r="W8" s="3"/>
      <c r="X8" s="3"/>
      <c r="Y8" s="3"/>
      <c r="Z8" s="3"/>
      <c r="AA8" s="3"/>
      <c r="AB8" s="3"/>
      <c r="AC8" s="3"/>
      <c r="AD8" s="3"/>
      <c r="AE8" s="3"/>
      <c r="AF8" s="3"/>
      <c r="AG8" s="3"/>
      <c r="AH8" s="3"/>
    </row>
    <row r="9" spans="1:34" ht="22.5" customHeight="1">
      <c r="A9" s="3"/>
      <c r="B9" s="107"/>
      <c r="C9" s="25" t="s">
        <v>73</v>
      </c>
      <c r="D9" s="16"/>
      <c r="E9" s="191" t="str">
        <f>IF(Übersicht!E11&lt;&gt;"",Übersicht!E11,"")</f>
        <v>Innogy Abwasser</v>
      </c>
      <c r="F9" s="192"/>
      <c r="G9" s="192"/>
      <c r="H9" s="192"/>
      <c r="I9" s="192"/>
      <c r="J9" s="192"/>
      <c r="K9" s="192"/>
      <c r="L9" s="192"/>
      <c r="M9" s="192"/>
      <c r="N9" s="192"/>
      <c r="O9" s="193"/>
      <c r="P9" s="23"/>
      <c r="Q9" s="156"/>
      <c r="R9" s="156"/>
      <c r="V9" s="3"/>
      <c r="W9" s="3"/>
      <c r="X9" s="3"/>
      <c r="Y9" s="3"/>
      <c r="Z9" s="3"/>
      <c r="AA9" s="3"/>
      <c r="AB9" s="3"/>
      <c r="AC9" s="3"/>
      <c r="AD9" s="3"/>
      <c r="AE9" s="3"/>
      <c r="AF9" s="3"/>
      <c r="AG9" s="3"/>
      <c r="AH9" s="3"/>
    </row>
    <row r="10" spans="1:34" ht="15">
      <c r="A10" s="3"/>
      <c r="B10" s="14"/>
      <c r="C10" s="25"/>
      <c r="D10" s="25"/>
      <c r="E10" s="25"/>
      <c r="F10" s="19"/>
      <c r="G10" s="26"/>
      <c r="H10" s="26"/>
      <c r="I10" s="26"/>
      <c r="P10" s="23"/>
      <c r="Q10" s="157"/>
      <c r="R10" s="157"/>
      <c r="S10" s="68"/>
      <c r="T10" s="68"/>
      <c r="U10" s="68"/>
      <c r="V10" s="3"/>
      <c r="W10" s="3"/>
      <c r="X10" s="3"/>
      <c r="Y10" s="3"/>
      <c r="Z10" s="3"/>
      <c r="AA10" s="3"/>
      <c r="AB10" s="3"/>
      <c r="AC10" s="3"/>
      <c r="AD10" s="3"/>
      <c r="AE10" s="3"/>
      <c r="AF10" s="3"/>
      <c r="AG10" s="3"/>
      <c r="AH10" s="3"/>
    </row>
    <row r="11" spans="1:34" ht="15" customHeight="1">
      <c r="A11" s="3"/>
      <c r="B11" s="112"/>
      <c r="C11" s="113"/>
      <c r="D11" s="114"/>
      <c r="E11" s="114"/>
      <c r="F11" s="115"/>
      <c r="G11" s="115"/>
      <c r="H11" s="116" t="s">
        <v>42</v>
      </c>
      <c r="I11" s="117" t="s">
        <v>12</v>
      </c>
      <c r="J11" s="118" t="s">
        <v>13</v>
      </c>
      <c r="K11" s="119" t="s">
        <v>14</v>
      </c>
      <c r="L11" s="117" t="s">
        <v>15</v>
      </c>
      <c r="M11" s="117" t="s">
        <v>16</v>
      </c>
      <c r="N11" s="120"/>
      <c r="O11" s="150"/>
      <c r="P11" s="23"/>
      <c r="Q11" s="156"/>
      <c r="R11" s="156"/>
      <c r="V11" s="3"/>
      <c r="W11" s="3"/>
      <c r="X11" s="3"/>
      <c r="Y11" s="3"/>
      <c r="Z11" s="3"/>
      <c r="AA11" s="3"/>
      <c r="AB11" s="3"/>
      <c r="AC11" s="3"/>
      <c r="AD11" s="3"/>
      <c r="AE11" s="3"/>
      <c r="AF11" s="3"/>
      <c r="AG11" s="3"/>
      <c r="AH11" s="3"/>
    </row>
    <row r="12" spans="1:34" ht="22.5" customHeight="1">
      <c r="A12" s="3"/>
      <c r="B12" s="112"/>
      <c r="C12" s="14" t="s">
        <v>30</v>
      </c>
      <c r="D12" s="21"/>
      <c r="E12" s="22"/>
      <c r="F12" s="152">
        <f>IF(November!F16&gt;0,November!F16,November!F12)</f>
        <v>10</v>
      </c>
      <c r="G12" s="92"/>
      <c r="H12" s="121" t="s">
        <v>43</v>
      </c>
      <c r="I12" s="122">
        <f>$F$12/5</f>
        <v>2</v>
      </c>
      <c r="J12" s="123">
        <f>$F$12/5</f>
        <v>2</v>
      </c>
      <c r="K12" s="123">
        <f>$F$12/5</f>
        <v>2</v>
      </c>
      <c r="L12" s="123">
        <f>$F$12/5</f>
        <v>2</v>
      </c>
      <c r="M12" s="124">
        <f>$F$12/5</f>
        <v>2</v>
      </c>
      <c r="N12" s="125" t="s">
        <v>45</v>
      </c>
      <c r="O12" s="150"/>
      <c r="P12" s="23"/>
      <c r="Q12" s="156"/>
      <c r="R12" s="156"/>
      <c r="V12" s="3"/>
      <c r="W12" s="3"/>
      <c r="X12" s="3"/>
      <c r="Y12" s="3"/>
      <c r="Z12" s="3"/>
      <c r="AA12" s="3"/>
      <c r="AB12" s="3"/>
      <c r="AC12" s="3"/>
      <c r="AD12" s="3"/>
      <c r="AE12" s="3"/>
      <c r="AF12" s="3"/>
      <c r="AG12" s="3"/>
      <c r="AH12" s="3"/>
    </row>
    <row r="13" spans="1:34" ht="22.5" customHeight="1">
      <c r="A13" s="3"/>
      <c r="B13" s="112"/>
      <c r="C13" s="126"/>
      <c r="D13" s="151"/>
      <c r="E13" s="151"/>
      <c r="F13" s="127"/>
      <c r="G13" s="127"/>
      <c r="H13" s="128" t="s">
        <v>44</v>
      </c>
      <c r="I13" s="108"/>
      <c r="J13" s="109"/>
      <c r="K13" s="109"/>
      <c r="L13" s="109"/>
      <c r="M13" s="110"/>
      <c r="N13" s="88">
        <f>SUM(I13:M13)</f>
        <v>0</v>
      </c>
      <c r="O13" s="150"/>
      <c r="P13" s="23"/>
      <c r="Q13" s="156"/>
      <c r="R13" s="156"/>
      <c r="V13" s="3"/>
      <c r="W13" s="3"/>
      <c r="X13" s="3"/>
      <c r="Y13" s="3"/>
      <c r="Z13" s="3"/>
      <c r="AA13" s="3"/>
      <c r="AB13" s="3"/>
      <c r="AC13" s="3"/>
      <c r="AD13" s="3"/>
      <c r="AE13" s="3"/>
      <c r="AF13" s="3"/>
      <c r="AG13" s="3"/>
      <c r="AH13" s="3"/>
    </row>
    <row r="14" spans="1:34" ht="18.75" customHeight="1">
      <c r="A14" s="3"/>
      <c r="B14" s="112"/>
      <c r="C14" s="149" t="s">
        <v>80</v>
      </c>
      <c r="D14" s="25"/>
      <c r="E14" s="27"/>
      <c r="F14" s="7"/>
      <c r="G14" s="7"/>
      <c r="O14" s="150"/>
      <c r="P14" s="23"/>
      <c r="Q14" s="156"/>
      <c r="R14" s="156"/>
      <c r="V14" s="3"/>
      <c r="W14" s="3"/>
      <c r="X14" s="3"/>
      <c r="Y14" s="3"/>
      <c r="Z14" s="3"/>
      <c r="AA14" s="3"/>
      <c r="AB14" s="3"/>
      <c r="AC14" s="3"/>
      <c r="AD14" s="3"/>
      <c r="AE14" s="3"/>
      <c r="AF14" s="3"/>
      <c r="AG14" s="3"/>
      <c r="AH14" s="3"/>
    </row>
    <row r="15" spans="1:34" ht="15" customHeight="1">
      <c r="A15" s="3"/>
      <c r="B15" s="112"/>
      <c r="C15" s="111"/>
      <c r="D15" s="129"/>
      <c r="E15" s="130"/>
      <c r="F15" s="130"/>
      <c r="G15" s="131"/>
      <c r="H15" s="132" t="s">
        <v>49</v>
      </c>
      <c r="I15" s="133" t="s">
        <v>12</v>
      </c>
      <c r="J15" s="134" t="s">
        <v>13</v>
      </c>
      <c r="K15" s="135" t="s">
        <v>14</v>
      </c>
      <c r="L15" s="133" t="s">
        <v>15</v>
      </c>
      <c r="M15" s="133" t="s">
        <v>16</v>
      </c>
      <c r="N15" s="136"/>
      <c r="O15" s="150"/>
      <c r="P15" s="23"/>
      <c r="Q15" s="156"/>
      <c r="R15" s="156"/>
      <c r="V15" s="3"/>
      <c r="W15" s="3"/>
      <c r="X15" s="3"/>
      <c r="Y15" s="3"/>
      <c r="Z15" s="3"/>
      <c r="AA15" s="3"/>
      <c r="AB15" s="3"/>
      <c r="AC15" s="3"/>
      <c r="AD15" s="3"/>
      <c r="AE15" s="3"/>
      <c r="AF15" s="3"/>
      <c r="AG15" s="3"/>
      <c r="AH15" s="3"/>
    </row>
    <row r="16" spans="1:34" ht="23.25" customHeight="1">
      <c r="A16" s="3"/>
      <c r="B16" s="112"/>
      <c r="C16" s="147" t="s">
        <v>48</v>
      </c>
      <c r="D16" s="148"/>
      <c r="E16" s="148"/>
      <c r="F16" s="152"/>
      <c r="G16" s="137"/>
      <c r="H16" s="138" t="s">
        <v>43</v>
      </c>
      <c r="I16" s="139">
        <f>$F$16/5</f>
        <v>0</v>
      </c>
      <c r="J16" s="140">
        <f>$F$16/5</f>
        <v>0</v>
      </c>
      <c r="K16" s="140">
        <f>$F$16/5</f>
        <v>0</v>
      </c>
      <c r="L16" s="140">
        <f>$F$16/5</f>
        <v>0</v>
      </c>
      <c r="M16" s="141">
        <f>$F$16/5</f>
        <v>0</v>
      </c>
      <c r="N16" s="142" t="s">
        <v>45</v>
      </c>
      <c r="O16" s="150"/>
      <c r="P16" s="23"/>
      <c r="Q16" s="156"/>
      <c r="R16" s="156"/>
      <c r="V16" s="3"/>
      <c r="W16" s="3"/>
      <c r="X16" s="3"/>
      <c r="Y16" s="3"/>
      <c r="Z16" s="3"/>
      <c r="AA16" s="3"/>
      <c r="AB16" s="3"/>
      <c r="AC16" s="3"/>
      <c r="AD16" s="3"/>
      <c r="AE16" s="3"/>
      <c r="AF16" s="3"/>
      <c r="AG16" s="3"/>
      <c r="AH16" s="3"/>
    </row>
    <row r="17" spans="1:252" ht="22.5" customHeight="1">
      <c r="A17" s="3"/>
      <c r="B17" s="112"/>
      <c r="C17" s="143" t="s">
        <v>47</v>
      </c>
      <c r="D17" s="144"/>
      <c r="E17" s="279"/>
      <c r="F17" s="279"/>
      <c r="G17" s="153" t="b">
        <f>IF($E$17&lt;&gt;0,TRUE(),FALSE())</f>
        <v>0</v>
      </c>
      <c r="H17" s="145" t="s">
        <v>44</v>
      </c>
      <c r="I17" s="108"/>
      <c r="J17" s="109"/>
      <c r="K17" s="109"/>
      <c r="L17" s="109"/>
      <c r="M17" s="110"/>
      <c r="N17" s="146">
        <f>SUM(I17:M17)</f>
        <v>0</v>
      </c>
      <c r="O17" s="150"/>
      <c r="P17" s="23"/>
      <c r="Q17" s="156"/>
      <c r="R17" s="156"/>
      <c r="V17" s="3"/>
      <c r="W17" s="3"/>
      <c r="X17" s="3"/>
      <c r="Y17" s="3"/>
      <c r="Z17" s="3"/>
      <c r="AA17" s="3"/>
      <c r="AB17" s="3"/>
      <c r="AC17" s="3"/>
      <c r="AD17" s="3"/>
      <c r="AE17" s="3"/>
      <c r="AF17" s="3"/>
      <c r="AG17" s="3"/>
      <c r="AH17" s="3"/>
    </row>
    <row r="18" spans="1:252" ht="15">
      <c r="A18" s="3"/>
      <c r="B18" s="85"/>
      <c r="C18" s="86"/>
      <c r="D18" s="87"/>
      <c r="E18" s="87"/>
      <c r="F18" s="87"/>
      <c r="G18" s="87"/>
      <c r="H18" s="87"/>
      <c r="I18" s="87"/>
      <c r="J18" s="87"/>
      <c r="K18" s="9"/>
      <c r="L18" s="9"/>
      <c r="M18" s="9"/>
      <c r="N18" s="9"/>
      <c r="O18" s="9"/>
      <c r="P18" s="28"/>
      <c r="Q18" s="156"/>
      <c r="R18" s="156"/>
      <c r="V18" s="3"/>
      <c r="W18" s="3"/>
      <c r="X18" s="3"/>
      <c r="Y18" s="3"/>
      <c r="Z18" s="3"/>
      <c r="AA18" s="3"/>
      <c r="AB18" s="3"/>
      <c r="AC18" s="3"/>
      <c r="AD18" s="3"/>
      <c r="AE18" s="3"/>
      <c r="AF18" s="3"/>
      <c r="AG18" s="3"/>
      <c r="AH18" s="3"/>
    </row>
    <row r="19" spans="1:252" ht="15.75" thickBot="1">
      <c r="A19" s="29"/>
      <c r="B19" s="164"/>
      <c r="C19" s="68"/>
      <c r="D19" s="68"/>
      <c r="E19" s="68"/>
      <c r="F19" s="68"/>
      <c r="G19" s="68"/>
      <c r="H19" s="68"/>
      <c r="I19" s="68"/>
      <c r="J19" s="68"/>
      <c r="K19" s="68"/>
      <c r="L19" s="68"/>
      <c r="M19" s="68"/>
      <c r="N19" s="68"/>
      <c r="O19" s="68"/>
      <c r="P19" s="68"/>
      <c r="Q19" s="157"/>
      <c r="R19" s="157"/>
      <c r="S19" s="68"/>
      <c r="T19" s="68"/>
      <c r="U19" s="68"/>
    </row>
    <row r="20" spans="1:252" s="4" customFormat="1" ht="18.75" customHeight="1">
      <c r="A20" s="30"/>
      <c r="B20" s="202"/>
      <c r="C20" s="264" t="s">
        <v>29</v>
      </c>
      <c r="D20" s="265"/>
      <c r="E20" s="265"/>
      <c r="F20" s="266" t="s">
        <v>67</v>
      </c>
      <c r="G20" s="267"/>
      <c r="H20" s="268"/>
      <c r="I20" s="269" t="s">
        <v>25</v>
      </c>
      <c r="J20" s="269"/>
      <c r="K20" s="270"/>
      <c r="L20" s="271"/>
      <c r="M20" s="269"/>
      <c r="N20" s="269"/>
      <c r="O20" s="269"/>
      <c r="P20" s="270"/>
      <c r="Q20" s="158"/>
      <c r="R20" s="158"/>
      <c r="S20" s="70" t="s">
        <v>22</v>
      </c>
      <c r="T20" s="70" t="s">
        <v>23</v>
      </c>
      <c r="U20" s="70" t="s">
        <v>23</v>
      </c>
      <c r="V20" s="71" t="s">
        <v>24</v>
      </c>
      <c r="W20" s="71" t="s">
        <v>22</v>
      </c>
      <c r="X20" s="71" t="s">
        <v>22</v>
      </c>
      <c r="Y20" s="71"/>
      <c r="Z20" s="71"/>
      <c r="AA20" s="70"/>
      <c r="AB20" s="70"/>
      <c r="AC20" s="71"/>
      <c r="AD20" s="97"/>
      <c r="AE20" s="97"/>
      <c r="AF20" s="98"/>
      <c r="AG20" s="98"/>
      <c r="AH20" s="98"/>
    </row>
    <row r="21" spans="1:252" ht="18.75" customHeight="1">
      <c r="A21" s="31">
        <f>DATEVALUE(I2&amp;K2)</f>
        <v>43070</v>
      </c>
      <c r="B21" s="203" t="s">
        <v>0</v>
      </c>
      <c r="C21" s="1" t="s">
        <v>8</v>
      </c>
      <c r="D21" s="5"/>
      <c r="E21" s="204" t="s">
        <v>18</v>
      </c>
      <c r="F21" s="173" t="s">
        <v>1</v>
      </c>
      <c r="G21" s="174" t="s">
        <v>6</v>
      </c>
      <c r="H21" s="175" t="s">
        <v>2</v>
      </c>
      <c r="I21" s="204" t="s">
        <v>17</v>
      </c>
      <c r="J21" s="2" t="s">
        <v>21</v>
      </c>
      <c r="K21" s="204" t="s">
        <v>19</v>
      </c>
      <c r="L21" s="275" t="s">
        <v>71</v>
      </c>
      <c r="M21" s="276"/>
      <c r="N21" s="276"/>
      <c r="O21" s="276"/>
      <c r="P21" s="277"/>
      <c r="Q21" s="159"/>
      <c r="R21" s="159"/>
      <c r="S21" s="72" t="s">
        <v>11</v>
      </c>
      <c r="T21" s="72" t="s">
        <v>1</v>
      </c>
      <c r="U21" s="72" t="s">
        <v>6</v>
      </c>
      <c r="V21" s="73" t="s">
        <v>2</v>
      </c>
      <c r="W21" s="73" t="s">
        <v>20</v>
      </c>
      <c r="X21" s="74" t="s">
        <v>21</v>
      </c>
      <c r="Y21" s="73" t="s">
        <v>19</v>
      </c>
      <c r="Z21" s="75"/>
    </row>
    <row r="22" spans="1:252" ht="20.25" customHeight="1">
      <c r="A22" s="32" t="str">
        <f t="shared" ref="A22:A52" si="0">TEXT(B22,"TTTT")</f>
        <v>Freitag</v>
      </c>
      <c r="B22" s="33">
        <f>($A$21+ROW(B1)-1)*(MONTH($A$21+1)=MONTH($A$21))</f>
        <v>43070</v>
      </c>
      <c r="C22" s="185" t="str">
        <f>IF(OR(A22="Samstag",A22="Sonntag"),"",IF(COUNTIF(Übersicht!C$16:C$30,B22)&gt;0,"BA",""))</f>
        <v/>
      </c>
      <c r="D22" s="34"/>
      <c r="E22" s="172">
        <f>IF(OR(A22="Samstag",A22="Sonntag",C22="BA"),"",
IF(C22="SV",D22,
IF(OR($E$17="",B22&lt;$E$17),IF($N$13=0,HLOOKUP($A22,$I$11:$M$12,2,FALSE),IF($N$13=$F$12,HLOOKUP($A22,$I$11:$M$13,3,FALSE),"FEHLER")),
IF($N$17=0,HLOOKUP($A22,$I$15:$M$16,2,FALSE),IF($N$17=$F$16,HLOOKUP($A22,$I$15:$M$17,3,FALSE),"FEHLER")))))</f>
        <v>2</v>
      </c>
      <c r="F22" s="195"/>
      <c r="G22" s="196"/>
      <c r="H22" s="197"/>
      <c r="I22" s="38">
        <f t="shared" ref="I22:I52" si="1">IF(OR(C22="K",C22="U",C22="F"),E22,IF(C22="SU",IF(H22="",D22,((H22-F22)-G22)+D22),IF(AND(H22="",E22=""),0,((H22-F22)-G22)*24)))</f>
        <v>0</v>
      </c>
      <c r="J22" s="35">
        <f>IF(E22="Fehler",0,IF(E22="",I22,I22-E22))</f>
        <v>-2</v>
      </c>
      <c r="K22" s="36">
        <f>M7+J22</f>
        <v>-215.25</v>
      </c>
      <c r="L22" s="251"/>
      <c r="M22" s="252"/>
      <c r="N22" s="252"/>
      <c r="O22" s="252"/>
      <c r="P22" s="253"/>
      <c r="Q22" s="89"/>
      <c r="R22" s="165"/>
      <c r="S22" s="76"/>
      <c r="T22" s="76"/>
      <c r="U22" s="76"/>
      <c r="V22" s="76"/>
      <c r="W22" s="76"/>
      <c r="X22" s="76"/>
      <c r="Y22" s="76"/>
      <c r="Z22" s="76"/>
      <c r="AB22" s="166"/>
      <c r="AE22" s="99"/>
    </row>
    <row r="23" spans="1:252" s="96" customFormat="1" ht="20.25" customHeight="1">
      <c r="A23" s="32" t="str">
        <f t="shared" si="0"/>
        <v>Samstag</v>
      </c>
      <c r="B23" s="37">
        <f t="shared" ref="B23:B52" si="2">($A$21+ROW(B2)-1)*(MONTH(B22+1)=MONTH($A$21))</f>
        <v>43071</v>
      </c>
      <c r="C23" s="185" t="str">
        <f>IF(OR(A23="Samstag",A23="Sonntag"),"",IF(COUNTIF(Übersicht!C$16:C$30,B23)&gt;0,"BA",""))</f>
        <v/>
      </c>
      <c r="D23" s="38"/>
      <c r="E23" s="172" t="str">
        <f>IF(OR(A23="Samstag",A23="Sonntag",C23="BA"),"",
IF(C23="SV",D23,
IF(OR($E$17="",B23&lt;$E$17),IF($N$13=0,HLOOKUP($A23,$I$11:$M$12,2,FALSE),IF($N$13=$F$12,HLOOKUP($A23,$I$11:$M$13,3,FALSE),"FEHLER")),
IF($N$17=0,HLOOKUP($A23,$I$15:$M$16,2,FALSE),IF($N$17=$F$16,HLOOKUP($A23,$I$15:$M$17,3,FALSE),"FEHLER")))))</f>
        <v/>
      </c>
      <c r="F23" s="176"/>
      <c r="G23" s="177"/>
      <c r="H23" s="178"/>
      <c r="I23" s="38">
        <f t="shared" si="1"/>
        <v>0</v>
      </c>
      <c r="J23" s="35">
        <f t="shared" ref="J23:J52" si="3">IF(E23="Fehler",0,IF(E23="",I23,I23-E23))</f>
        <v>0</v>
      </c>
      <c r="K23" s="36">
        <f>SUM(K22,J23)</f>
        <v>-215.25</v>
      </c>
      <c r="L23" s="251"/>
      <c r="M23" s="252"/>
      <c r="N23" s="252"/>
      <c r="O23" s="252"/>
      <c r="P23" s="253"/>
      <c r="Q23" s="89"/>
      <c r="R23" s="165"/>
      <c r="S23" s="76"/>
      <c r="T23" s="76"/>
      <c r="U23" s="76"/>
      <c r="V23" s="76"/>
      <c r="W23" s="76"/>
      <c r="X23" s="76"/>
      <c r="Y23" s="76"/>
      <c r="Z23" s="76"/>
      <c r="AA23" s="68"/>
      <c r="AB23" s="166"/>
      <c r="AC23" s="6"/>
      <c r="AD23" s="95"/>
      <c r="AE23" s="99"/>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row>
    <row r="24" spans="1:252" s="96" customFormat="1" ht="20.25" customHeight="1">
      <c r="A24" s="32" t="str">
        <f t="shared" si="0"/>
        <v>Sonntag</v>
      </c>
      <c r="B24" s="37">
        <f t="shared" si="2"/>
        <v>43072</v>
      </c>
      <c r="C24" s="185" t="str">
        <f>IF(OR(A24="Samstag",A24="Sonntag"),"",IF(COUNTIF(Übersicht!C$16:C$30,B24)&gt;0,"BA",""))</f>
        <v/>
      </c>
      <c r="D24" s="38"/>
      <c r="E24" s="172" t="str">
        <f t="shared" ref="E24:E52" si="4">IF(OR(A24="Samstag",A24="Sonntag",C24="BA"),"",
IF(C24="SV",D24,
IF(OR($E$17="",B24&lt;$E$17),IF($N$13=0,HLOOKUP($A24,$I$11:$M$12,2,FALSE),IF($N$13=$F$12,HLOOKUP($A24,$I$11:$M$13,3,FALSE),"FEHLER")),
IF($N$17=0,HLOOKUP($A24,$I$15:$M$16,2,FALSE),IF($N$17=$F$16,HLOOKUP($A24,$I$15:$M$17,3,FALSE),"FEHLER")))))</f>
        <v/>
      </c>
      <c r="F24" s="176"/>
      <c r="G24" s="177"/>
      <c r="H24" s="178"/>
      <c r="I24" s="38">
        <f t="shared" si="1"/>
        <v>0</v>
      </c>
      <c r="J24" s="35">
        <f t="shared" si="3"/>
        <v>0</v>
      </c>
      <c r="K24" s="36">
        <f t="shared" ref="K24:K52" si="5">SUM(K23,J24)</f>
        <v>-215.25</v>
      </c>
      <c r="L24" s="251"/>
      <c r="M24" s="252"/>
      <c r="N24" s="252"/>
      <c r="O24" s="252"/>
      <c r="P24" s="253"/>
      <c r="Q24" s="89"/>
      <c r="R24" s="165"/>
      <c r="S24" s="76"/>
      <c r="T24" s="76"/>
      <c r="U24" s="76"/>
      <c r="V24" s="76"/>
      <c r="W24" s="76"/>
      <c r="X24" s="76"/>
      <c r="Y24" s="76"/>
      <c r="Z24" s="76"/>
      <c r="AA24" s="68"/>
      <c r="AB24" s="166"/>
      <c r="AC24" s="6"/>
      <c r="AD24" s="95"/>
      <c r="AE24" s="99"/>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row>
    <row r="25" spans="1:252" s="96" customFormat="1" ht="20.25" customHeight="1">
      <c r="A25" s="32" t="str">
        <f t="shared" si="0"/>
        <v>Montag</v>
      </c>
      <c r="B25" s="37">
        <f t="shared" si="2"/>
        <v>43073</v>
      </c>
      <c r="C25" s="185" t="str">
        <f>IF(OR(A25="Samstag",A25="Sonntag"),"",IF(COUNTIF(Übersicht!C$16:C$30,B25)&gt;0,"BA",""))</f>
        <v/>
      </c>
      <c r="D25" s="38"/>
      <c r="E25" s="172">
        <f t="shared" si="4"/>
        <v>2</v>
      </c>
      <c r="F25" s="176"/>
      <c r="G25" s="177"/>
      <c r="H25" s="178"/>
      <c r="I25" s="38">
        <f t="shared" si="1"/>
        <v>0</v>
      </c>
      <c r="J25" s="35">
        <f t="shared" si="3"/>
        <v>-2</v>
      </c>
      <c r="K25" s="36">
        <f t="shared" si="5"/>
        <v>-217.25</v>
      </c>
      <c r="L25" s="251"/>
      <c r="M25" s="252"/>
      <c r="N25" s="252"/>
      <c r="O25" s="252"/>
      <c r="P25" s="253"/>
      <c r="Q25" s="89"/>
      <c r="R25" s="165"/>
      <c r="S25" s="76"/>
      <c r="T25" s="76"/>
      <c r="U25" s="76"/>
      <c r="V25" s="76"/>
      <c r="W25" s="76"/>
      <c r="X25" s="76"/>
      <c r="Y25" s="76"/>
      <c r="Z25" s="76"/>
      <c r="AA25" s="68"/>
      <c r="AB25" s="166"/>
      <c r="AC25" s="6"/>
      <c r="AD25" s="95"/>
      <c r="AE25" s="99"/>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row>
    <row r="26" spans="1:252" s="96" customFormat="1" ht="20.25" customHeight="1">
      <c r="A26" s="32" t="str">
        <f t="shared" si="0"/>
        <v>Dienstag</v>
      </c>
      <c r="B26" s="37">
        <f t="shared" si="2"/>
        <v>43074</v>
      </c>
      <c r="C26" s="185" t="str">
        <f>IF(OR(A26="Samstag",A26="Sonntag"),"",IF(COUNTIF(Übersicht!C$16:C$30,B26)&gt;0,"BA",""))</f>
        <v/>
      </c>
      <c r="D26" s="38"/>
      <c r="E26" s="172">
        <f t="shared" si="4"/>
        <v>2</v>
      </c>
      <c r="F26" s="176"/>
      <c r="G26" s="177"/>
      <c r="H26" s="178"/>
      <c r="I26" s="38">
        <f t="shared" si="1"/>
        <v>0</v>
      </c>
      <c r="J26" s="35">
        <f t="shared" si="3"/>
        <v>-2</v>
      </c>
      <c r="K26" s="36">
        <f t="shared" si="5"/>
        <v>-219.25</v>
      </c>
      <c r="L26" s="251"/>
      <c r="M26" s="252"/>
      <c r="N26" s="252"/>
      <c r="O26" s="252"/>
      <c r="P26" s="253"/>
      <c r="Q26" s="89"/>
      <c r="R26" s="165"/>
      <c r="S26" s="76"/>
      <c r="T26" s="76"/>
      <c r="U26" s="76"/>
      <c r="V26" s="76"/>
      <c r="W26" s="76"/>
      <c r="X26" s="76"/>
      <c r="Y26" s="76"/>
      <c r="Z26" s="76"/>
      <c r="AA26" s="68"/>
      <c r="AB26" s="166"/>
      <c r="AC26" s="6"/>
      <c r="AD26" s="95"/>
      <c r="AE26" s="99"/>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row>
    <row r="27" spans="1:252" s="96" customFormat="1" ht="20.25" customHeight="1">
      <c r="A27" s="32" t="str">
        <f t="shared" si="0"/>
        <v>Mittwoch</v>
      </c>
      <c r="B27" s="37">
        <f t="shared" si="2"/>
        <v>43075</v>
      </c>
      <c r="C27" s="185" t="str">
        <f>IF(OR(A27="Samstag",A27="Sonntag"),"",IF(COUNTIF(Übersicht!C$16:C$30,B27)&gt;0,"BA",""))</f>
        <v/>
      </c>
      <c r="D27" s="38"/>
      <c r="E27" s="172">
        <f t="shared" si="4"/>
        <v>2</v>
      </c>
      <c r="F27" s="176"/>
      <c r="G27" s="177"/>
      <c r="H27" s="178"/>
      <c r="I27" s="38">
        <f t="shared" si="1"/>
        <v>0</v>
      </c>
      <c r="J27" s="35">
        <f t="shared" si="3"/>
        <v>-2</v>
      </c>
      <c r="K27" s="36">
        <f>SUM(K26,J27)</f>
        <v>-221.25</v>
      </c>
      <c r="L27" s="251"/>
      <c r="M27" s="252"/>
      <c r="N27" s="252"/>
      <c r="O27" s="252"/>
      <c r="P27" s="253"/>
      <c r="Q27" s="89"/>
      <c r="R27" s="165"/>
      <c r="S27" s="76"/>
      <c r="T27" s="76"/>
      <c r="U27" s="76"/>
      <c r="V27" s="76"/>
      <c r="W27" s="76"/>
      <c r="X27" s="76"/>
      <c r="Y27" s="76"/>
      <c r="Z27" s="76"/>
      <c r="AA27" s="68"/>
      <c r="AB27" s="166"/>
      <c r="AC27" s="6"/>
      <c r="AD27" s="95"/>
      <c r="AE27" s="99"/>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row>
    <row r="28" spans="1:252" s="96" customFormat="1" ht="20.25" customHeight="1">
      <c r="A28" s="32" t="str">
        <f t="shared" si="0"/>
        <v>Donnerstag</v>
      </c>
      <c r="B28" s="37">
        <f t="shared" si="2"/>
        <v>43076</v>
      </c>
      <c r="C28" s="185" t="str">
        <f>IF(OR(A28="Samstag",A28="Sonntag"),"",IF(COUNTIF(Übersicht!C$16:C$30,B28)&gt;0,"BA",""))</f>
        <v/>
      </c>
      <c r="D28" s="38"/>
      <c r="E28" s="172">
        <f t="shared" si="4"/>
        <v>2</v>
      </c>
      <c r="F28" s="176"/>
      <c r="G28" s="177"/>
      <c r="H28" s="178"/>
      <c r="I28" s="38">
        <f t="shared" si="1"/>
        <v>0</v>
      </c>
      <c r="J28" s="35">
        <f t="shared" si="3"/>
        <v>-2</v>
      </c>
      <c r="K28" s="36">
        <f t="shared" si="5"/>
        <v>-223.25</v>
      </c>
      <c r="L28" s="251"/>
      <c r="M28" s="252"/>
      <c r="N28" s="252"/>
      <c r="O28" s="252"/>
      <c r="P28" s="253"/>
      <c r="Q28" s="89"/>
      <c r="R28" s="165"/>
      <c r="S28" s="76"/>
      <c r="T28" s="76"/>
      <c r="U28" s="76"/>
      <c r="V28" s="76"/>
      <c r="W28" s="76"/>
      <c r="X28" s="76"/>
      <c r="Y28" s="76"/>
      <c r="Z28" s="76"/>
      <c r="AA28" s="68"/>
      <c r="AB28" s="166"/>
      <c r="AC28" s="6"/>
      <c r="AD28" s="95"/>
      <c r="AE28" s="99"/>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row>
    <row r="29" spans="1:252" s="96" customFormat="1" ht="20.25" customHeight="1">
      <c r="A29" s="32" t="str">
        <f t="shared" si="0"/>
        <v>Freitag</v>
      </c>
      <c r="B29" s="37">
        <f t="shared" si="2"/>
        <v>43077</v>
      </c>
      <c r="C29" s="185" t="str">
        <f>IF(OR(A29="Samstag",A29="Sonntag"),"",IF(COUNTIF(Übersicht!C$16:C$30,B29)&gt;0,"BA",""))</f>
        <v/>
      </c>
      <c r="D29" s="38"/>
      <c r="E29" s="172">
        <f t="shared" si="4"/>
        <v>2</v>
      </c>
      <c r="F29" s="176"/>
      <c r="G29" s="177"/>
      <c r="H29" s="178"/>
      <c r="I29" s="38">
        <f t="shared" si="1"/>
        <v>0</v>
      </c>
      <c r="J29" s="35">
        <f t="shared" si="3"/>
        <v>-2</v>
      </c>
      <c r="K29" s="36">
        <f t="shared" si="5"/>
        <v>-225.25</v>
      </c>
      <c r="L29" s="251"/>
      <c r="M29" s="252"/>
      <c r="N29" s="252"/>
      <c r="O29" s="252"/>
      <c r="P29" s="253"/>
      <c r="Q29" s="89"/>
      <c r="R29" s="165"/>
      <c r="S29" s="76"/>
      <c r="T29" s="76"/>
      <c r="U29" s="76"/>
      <c r="V29" s="76"/>
      <c r="W29" s="76"/>
      <c r="X29" s="76"/>
      <c r="Y29" s="76"/>
      <c r="Z29" s="76"/>
      <c r="AA29" s="68"/>
      <c r="AB29" s="166"/>
      <c r="AC29" s="6"/>
      <c r="AD29" s="95"/>
      <c r="AE29" s="99"/>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row>
    <row r="30" spans="1:252" s="96" customFormat="1" ht="20.25" customHeight="1">
      <c r="A30" s="32" t="str">
        <f t="shared" si="0"/>
        <v>Samstag</v>
      </c>
      <c r="B30" s="37">
        <f t="shared" si="2"/>
        <v>43078</v>
      </c>
      <c r="C30" s="185" t="str">
        <f>IF(OR(A30="Samstag",A30="Sonntag"),"",IF(COUNTIF(Übersicht!C$16:C$30,B30)&gt;0,"BA",""))</f>
        <v/>
      </c>
      <c r="D30" s="38"/>
      <c r="E30" s="172" t="str">
        <f t="shared" si="4"/>
        <v/>
      </c>
      <c r="F30" s="176"/>
      <c r="G30" s="177"/>
      <c r="H30" s="178"/>
      <c r="I30" s="38">
        <f t="shared" si="1"/>
        <v>0</v>
      </c>
      <c r="J30" s="35">
        <f t="shared" si="3"/>
        <v>0</v>
      </c>
      <c r="K30" s="36">
        <f t="shared" si="5"/>
        <v>-225.25</v>
      </c>
      <c r="L30" s="251"/>
      <c r="M30" s="252"/>
      <c r="N30" s="252"/>
      <c r="O30" s="252"/>
      <c r="P30" s="253"/>
      <c r="Q30" s="89"/>
      <c r="R30" s="165"/>
      <c r="S30" s="76"/>
      <c r="T30" s="76"/>
      <c r="U30" s="76"/>
      <c r="V30" s="76"/>
      <c r="W30" s="76"/>
      <c r="X30" s="76"/>
      <c r="Y30" s="76"/>
      <c r="Z30" s="76"/>
      <c r="AA30" s="68"/>
      <c r="AB30" s="166"/>
      <c r="AC30" s="6"/>
      <c r="AD30" s="95"/>
      <c r="AE30" s="99"/>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row>
    <row r="31" spans="1:252" s="96" customFormat="1" ht="20.25" customHeight="1">
      <c r="A31" s="32" t="str">
        <f t="shared" si="0"/>
        <v>Sonntag</v>
      </c>
      <c r="B31" s="37">
        <f t="shared" si="2"/>
        <v>43079</v>
      </c>
      <c r="C31" s="185" t="str">
        <f>IF(OR(A31="Samstag",A31="Sonntag"),"",IF(COUNTIF(Übersicht!C$16:C$30,B31)&gt;0,"BA",""))</f>
        <v/>
      </c>
      <c r="D31" s="38"/>
      <c r="E31" s="172" t="str">
        <f t="shared" si="4"/>
        <v/>
      </c>
      <c r="F31" s="176"/>
      <c r="G31" s="177"/>
      <c r="H31" s="178"/>
      <c r="I31" s="38">
        <f t="shared" si="1"/>
        <v>0</v>
      </c>
      <c r="J31" s="35">
        <f t="shared" si="3"/>
        <v>0</v>
      </c>
      <c r="K31" s="36">
        <f t="shared" si="5"/>
        <v>-225.25</v>
      </c>
      <c r="L31" s="251"/>
      <c r="M31" s="252"/>
      <c r="N31" s="252"/>
      <c r="O31" s="252"/>
      <c r="P31" s="253"/>
      <c r="Q31" s="89"/>
      <c r="R31" s="165"/>
      <c r="S31" s="76"/>
      <c r="T31" s="76"/>
      <c r="U31" s="76"/>
      <c r="V31" s="76"/>
      <c r="W31" s="76"/>
      <c r="X31" s="76"/>
      <c r="Y31" s="76"/>
      <c r="Z31" s="76"/>
      <c r="AA31" s="68"/>
      <c r="AB31" s="166"/>
      <c r="AC31" s="6"/>
      <c r="AD31" s="95"/>
      <c r="AE31" s="99"/>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row>
    <row r="32" spans="1:252" s="96" customFormat="1" ht="20.25" customHeight="1">
      <c r="A32" s="32" t="str">
        <f t="shared" si="0"/>
        <v>Montag</v>
      </c>
      <c r="B32" s="37">
        <f t="shared" si="2"/>
        <v>43080</v>
      </c>
      <c r="C32" s="185" t="str">
        <f>IF(OR(A32="Samstag",A32="Sonntag"),"",IF(COUNTIF(Übersicht!C$16:C$30,B32)&gt;0,"BA",""))</f>
        <v/>
      </c>
      <c r="D32" s="38"/>
      <c r="E32" s="172">
        <f t="shared" si="4"/>
        <v>2</v>
      </c>
      <c r="F32" s="176"/>
      <c r="G32" s="177"/>
      <c r="H32" s="178"/>
      <c r="I32" s="38">
        <f t="shared" si="1"/>
        <v>0</v>
      </c>
      <c r="J32" s="35">
        <f t="shared" si="3"/>
        <v>-2</v>
      </c>
      <c r="K32" s="36">
        <f t="shared" si="5"/>
        <v>-227.25</v>
      </c>
      <c r="L32" s="251"/>
      <c r="M32" s="252"/>
      <c r="N32" s="252"/>
      <c r="O32" s="252"/>
      <c r="P32" s="253"/>
      <c r="Q32" s="89"/>
      <c r="R32" s="165"/>
      <c r="S32" s="76"/>
      <c r="T32" s="76"/>
      <c r="U32" s="76"/>
      <c r="V32" s="76"/>
      <c r="W32" s="76"/>
      <c r="X32" s="76"/>
      <c r="Y32" s="76"/>
      <c r="Z32" s="76"/>
      <c r="AA32" s="68"/>
      <c r="AB32" s="166"/>
      <c r="AC32" s="6"/>
      <c r="AD32" s="95"/>
      <c r="AE32" s="99"/>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row>
    <row r="33" spans="1:252" s="96" customFormat="1" ht="20.25" customHeight="1">
      <c r="A33" s="32" t="str">
        <f t="shared" si="0"/>
        <v>Dienstag</v>
      </c>
      <c r="B33" s="37">
        <f t="shared" si="2"/>
        <v>43081</v>
      </c>
      <c r="C33" s="185" t="str">
        <f>IF(OR(A33="Samstag",A33="Sonntag"),"",IF(COUNTIF(Übersicht!C$16:C$30,B33)&gt;0,"BA",""))</f>
        <v/>
      </c>
      <c r="D33" s="38"/>
      <c r="E33" s="172">
        <f t="shared" si="4"/>
        <v>2</v>
      </c>
      <c r="F33" s="176"/>
      <c r="G33" s="177"/>
      <c r="H33" s="178"/>
      <c r="I33" s="38">
        <f t="shared" si="1"/>
        <v>0</v>
      </c>
      <c r="J33" s="35">
        <f t="shared" si="3"/>
        <v>-2</v>
      </c>
      <c r="K33" s="36">
        <f t="shared" si="5"/>
        <v>-229.25</v>
      </c>
      <c r="L33" s="251"/>
      <c r="M33" s="252"/>
      <c r="N33" s="252"/>
      <c r="O33" s="252"/>
      <c r="P33" s="253"/>
      <c r="Q33" s="89"/>
      <c r="R33" s="165"/>
      <c r="S33" s="76"/>
      <c r="T33" s="76"/>
      <c r="U33" s="76"/>
      <c r="V33" s="76"/>
      <c r="W33" s="76"/>
      <c r="X33" s="76"/>
      <c r="Y33" s="76"/>
      <c r="Z33" s="76"/>
      <c r="AA33" s="68"/>
      <c r="AB33" s="166"/>
      <c r="AC33" s="6"/>
      <c r="AD33" s="95"/>
      <c r="AE33" s="99"/>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row>
    <row r="34" spans="1:252" s="96" customFormat="1" ht="20.25" customHeight="1">
      <c r="A34" s="32" t="str">
        <f t="shared" si="0"/>
        <v>Mittwoch</v>
      </c>
      <c r="B34" s="37">
        <f t="shared" si="2"/>
        <v>43082</v>
      </c>
      <c r="C34" s="185" t="str">
        <f>IF(OR(A34="Samstag",A34="Sonntag"),"",IF(COUNTIF(Übersicht!C$16:C$30,B34)&gt;0,"BA",""))</f>
        <v/>
      </c>
      <c r="D34" s="38"/>
      <c r="E34" s="172">
        <f t="shared" si="4"/>
        <v>2</v>
      </c>
      <c r="F34" s="176"/>
      <c r="G34" s="177"/>
      <c r="H34" s="178"/>
      <c r="I34" s="38">
        <f t="shared" si="1"/>
        <v>0</v>
      </c>
      <c r="J34" s="35">
        <f t="shared" si="3"/>
        <v>-2</v>
      </c>
      <c r="K34" s="36">
        <f t="shared" si="5"/>
        <v>-231.25</v>
      </c>
      <c r="L34" s="251"/>
      <c r="M34" s="252"/>
      <c r="N34" s="252"/>
      <c r="O34" s="252"/>
      <c r="P34" s="253"/>
      <c r="Q34" s="89"/>
      <c r="R34" s="165"/>
      <c r="S34" s="76"/>
      <c r="T34" s="76"/>
      <c r="U34" s="76"/>
      <c r="V34" s="76"/>
      <c r="W34" s="76"/>
      <c r="X34" s="76"/>
      <c r="Y34" s="76"/>
      <c r="Z34" s="76"/>
      <c r="AA34" s="68"/>
      <c r="AB34" s="166"/>
      <c r="AC34" s="6"/>
      <c r="AD34" s="95"/>
      <c r="AE34" s="99"/>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row>
    <row r="35" spans="1:252" s="96" customFormat="1" ht="20.25" customHeight="1">
      <c r="A35" s="32" t="str">
        <f t="shared" si="0"/>
        <v>Donnerstag</v>
      </c>
      <c r="B35" s="37">
        <f t="shared" si="2"/>
        <v>43083</v>
      </c>
      <c r="C35" s="185" t="str">
        <f>IF(OR(A35="Samstag",A35="Sonntag"),"",IF(COUNTIF(Übersicht!C$16:C$30,B35)&gt;0,"BA",""))</f>
        <v/>
      </c>
      <c r="D35" s="38"/>
      <c r="E35" s="172">
        <f t="shared" si="4"/>
        <v>2</v>
      </c>
      <c r="F35" s="176"/>
      <c r="G35" s="177"/>
      <c r="H35" s="178"/>
      <c r="I35" s="38">
        <f t="shared" si="1"/>
        <v>0</v>
      </c>
      <c r="J35" s="35">
        <f t="shared" si="3"/>
        <v>-2</v>
      </c>
      <c r="K35" s="36">
        <f t="shared" si="5"/>
        <v>-233.25</v>
      </c>
      <c r="L35" s="251"/>
      <c r="M35" s="252"/>
      <c r="N35" s="252"/>
      <c r="O35" s="252"/>
      <c r="P35" s="253"/>
      <c r="Q35" s="89"/>
      <c r="R35" s="165"/>
      <c r="S35" s="76"/>
      <c r="T35" s="76"/>
      <c r="U35" s="76"/>
      <c r="V35" s="76"/>
      <c r="W35" s="76"/>
      <c r="X35" s="76"/>
      <c r="Y35" s="76"/>
      <c r="Z35" s="76"/>
      <c r="AA35" s="68"/>
      <c r="AB35" s="166"/>
      <c r="AC35" s="6"/>
      <c r="AD35" s="95"/>
      <c r="AE35" s="99"/>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row>
    <row r="36" spans="1:252" s="96" customFormat="1" ht="20.25" customHeight="1">
      <c r="A36" s="32" t="str">
        <f t="shared" si="0"/>
        <v>Freitag</v>
      </c>
      <c r="B36" s="37">
        <f t="shared" si="2"/>
        <v>43084</v>
      </c>
      <c r="C36" s="185" t="str">
        <f>IF(OR(A36="Samstag",A36="Sonntag"),"",IF(COUNTIF(Übersicht!C$16:C$30,B36)&gt;0,"BA",""))</f>
        <v/>
      </c>
      <c r="D36" s="38"/>
      <c r="E36" s="172">
        <f t="shared" si="4"/>
        <v>2</v>
      </c>
      <c r="F36" s="176"/>
      <c r="G36" s="177"/>
      <c r="H36" s="178"/>
      <c r="I36" s="38">
        <f t="shared" si="1"/>
        <v>0</v>
      </c>
      <c r="J36" s="35">
        <f t="shared" si="3"/>
        <v>-2</v>
      </c>
      <c r="K36" s="36">
        <f t="shared" si="5"/>
        <v>-235.25</v>
      </c>
      <c r="L36" s="251"/>
      <c r="M36" s="252"/>
      <c r="N36" s="252"/>
      <c r="O36" s="252"/>
      <c r="P36" s="253"/>
      <c r="Q36" s="89"/>
      <c r="R36" s="165"/>
      <c r="S36" s="76"/>
      <c r="T36" s="76"/>
      <c r="U36" s="76"/>
      <c r="V36" s="76"/>
      <c r="W36" s="76"/>
      <c r="X36" s="76"/>
      <c r="Y36" s="76"/>
      <c r="Z36" s="76"/>
      <c r="AA36" s="68"/>
      <c r="AB36" s="166"/>
      <c r="AC36" s="6"/>
      <c r="AD36" s="95"/>
      <c r="AE36" s="99"/>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row>
    <row r="37" spans="1:252" s="96" customFormat="1" ht="20.25" customHeight="1">
      <c r="A37" s="32" t="str">
        <f t="shared" si="0"/>
        <v>Samstag</v>
      </c>
      <c r="B37" s="37">
        <f t="shared" si="2"/>
        <v>43085</v>
      </c>
      <c r="C37" s="185" t="str">
        <f>IF(OR(A37="Samstag",A37="Sonntag"),"",IF(COUNTIF(Übersicht!C$16:C$30,B37)&gt;0,"BA",""))</f>
        <v/>
      </c>
      <c r="D37" s="38"/>
      <c r="E37" s="172" t="str">
        <f t="shared" si="4"/>
        <v/>
      </c>
      <c r="F37" s="176"/>
      <c r="G37" s="177"/>
      <c r="H37" s="178"/>
      <c r="I37" s="38">
        <f t="shared" si="1"/>
        <v>0</v>
      </c>
      <c r="J37" s="35">
        <f t="shared" si="3"/>
        <v>0</v>
      </c>
      <c r="K37" s="36">
        <f t="shared" si="5"/>
        <v>-235.25</v>
      </c>
      <c r="L37" s="251"/>
      <c r="M37" s="252"/>
      <c r="N37" s="252"/>
      <c r="O37" s="252"/>
      <c r="P37" s="253"/>
      <c r="Q37" s="89"/>
      <c r="R37" s="165"/>
      <c r="S37" s="76"/>
      <c r="T37" s="76"/>
      <c r="U37" s="76"/>
      <c r="V37" s="76"/>
      <c r="W37" s="76"/>
      <c r="X37" s="76"/>
      <c r="Y37" s="76"/>
      <c r="Z37" s="76"/>
      <c r="AA37" s="68"/>
      <c r="AB37" s="166"/>
      <c r="AC37" s="6"/>
      <c r="AD37" s="95"/>
      <c r="AE37" s="99"/>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row>
    <row r="38" spans="1:252" s="96" customFormat="1" ht="20.25" customHeight="1">
      <c r="A38" s="32" t="str">
        <f t="shared" si="0"/>
        <v>Sonntag</v>
      </c>
      <c r="B38" s="37">
        <f t="shared" si="2"/>
        <v>43086</v>
      </c>
      <c r="C38" s="185" t="str">
        <f>IF(OR(A38="Samstag",A38="Sonntag"),"",IF(COUNTIF(Übersicht!C$16:C$30,B38)&gt;0,"BA",""))</f>
        <v/>
      </c>
      <c r="D38" s="38"/>
      <c r="E38" s="172" t="str">
        <f t="shared" si="4"/>
        <v/>
      </c>
      <c r="F38" s="176"/>
      <c r="G38" s="177"/>
      <c r="H38" s="178"/>
      <c r="I38" s="38">
        <f t="shared" si="1"/>
        <v>0</v>
      </c>
      <c r="J38" s="35">
        <f t="shared" si="3"/>
        <v>0</v>
      </c>
      <c r="K38" s="36">
        <f t="shared" si="5"/>
        <v>-235.25</v>
      </c>
      <c r="L38" s="251"/>
      <c r="M38" s="252"/>
      <c r="N38" s="252"/>
      <c r="O38" s="252"/>
      <c r="P38" s="253"/>
      <c r="Q38" s="89"/>
      <c r="R38" s="165"/>
      <c r="S38" s="76"/>
      <c r="T38" s="76"/>
      <c r="U38" s="76"/>
      <c r="V38" s="76"/>
      <c r="W38" s="76"/>
      <c r="X38" s="76"/>
      <c r="Y38" s="76"/>
      <c r="Z38" s="76"/>
      <c r="AA38" s="68"/>
      <c r="AB38" s="166"/>
      <c r="AC38" s="6"/>
      <c r="AD38" s="95"/>
      <c r="AE38" s="99"/>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row>
    <row r="39" spans="1:252" s="96" customFormat="1" ht="20.25" customHeight="1">
      <c r="A39" s="32" t="str">
        <f t="shared" si="0"/>
        <v>Montag</v>
      </c>
      <c r="B39" s="37">
        <f t="shared" si="2"/>
        <v>43087</v>
      </c>
      <c r="C39" s="185" t="str">
        <f>IF(OR(A39="Samstag",A39="Sonntag"),"",IF(COUNTIF(Übersicht!C$16:C$30,B39)&gt;0,"BA",""))</f>
        <v/>
      </c>
      <c r="D39" s="38"/>
      <c r="E39" s="172">
        <f t="shared" si="4"/>
        <v>2</v>
      </c>
      <c r="F39" s="176"/>
      <c r="G39" s="177"/>
      <c r="H39" s="178"/>
      <c r="I39" s="38">
        <f t="shared" si="1"/>
        <v>0</v>
      </c>
      <c r="J39" s="35">
        <f t="shared" si="3"/>
        <v>-2</v>
      </c>
      <c r="K39" s="36">
        <f t="shared" si="5"/>
        <v>-237.25</v>
      </c>
      <c r="L39" s="251"/>
      <c r="M39" s="252"/>
      <c r="N39" s="252"/>
      <c r="O39" s="252"/>
      <c r="P39" s="253"/>
      <c r="Q39" s="89"/>
      <c r="R39" s="165"/>
      <c r="S39" s="76"/>
      <c r="T39" s="76"/>
      <c r="U39" s="76"/>
      <c r="V39" s="76"/>
      <c r="W39" s="76"/>
      <c r="X39" s="76"/>
      <c r="Y39" s="76"/>
      <c r="Z39" s="76"/>
      <c r="AA39" s="68"/>
      <c r="AB39" s="166"/>
      <c r="AC39" s="6"/>
      <c r="AD39" s="95"/>
      <c r="AE39" s="99"/>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row>
    <row r="40" spans="1:252" s="96" customFormat="1" ht="20.25" customHeight="1">
      <c r="A40" s="32" t="str">
        <f t="shared" si="0"/>
        <v>Dienstag</v>
      </c>
      <c r="B40" s="37">
        <f t="shared" si="2"/>
        <v>43088</v>
      </c>
      <c r="C40" s="185" t="str">
        <f>IF(OR(A40="Samstag",A40="Sonntag"),"",IF(COUNTIF(Übersicht!C$16:C$30,B40)&gt;0,"BA",""))</f>
        <v/>
      </c>
      <c r="D40" s="38"/>
      <c r="E40" s="172">
        <f t="shared" si="4"/>
        <v>2</v>
      </c>
      <c r="F40" s="176"/>
      <c r="G40" s="177"/>
      <c r="H40" s="178"/>
      <c r="I40" s="38">
        <f t="shared" si="1"/>
        <v>0</v>
      </c>
      <c r="J40" s="35">
        <f t="shared" si="3"/>
        <v>-2</v>
      </c>
      <c r="K40" s="36">
        <f t="shared" si="5"/>
        <v>-239.25</v>
      </c>
      <c r="L40" s="251"/>
      <c r="M40" s="252"/>
      <c r="N40" s="252"/>
      <c r="O40" s="252"/>
      <c r="P40" s="253"/>
      <c r="Q40" s="89"/>
      <c r="R40" s="165"/>
      <c r="S40" s="76"/>
      <c r="T40" s="76"/>
      <c r="U40" s="76"/>
      <c r="V40" s="76"/>
      <c r="W40" s="76"/>
      <c r="X40" s="76"/>
      <c r="Y40" s="76"/>
      <c r="Z40" s="76"/>
      <c r="AA40" s="68"/>
      <c r="AB40" s="166"/>
      <c r="AC40" s="6"/>
      <c r="AD40" s="95"/>
      <c r="AE40" s="99"/>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row>
    <row r="41" spans="1:252" s="96" customFormat="1" ht="20.25" customHeight="1">
      <c r="A41" s="32" t="str">
        <f t="shared" si="0"/>
        <v>Mittwoch</v>
      </c>
      <c r="B41" s="37">
        <f t="shared" si="2"/>
        <v>43089</v>
      </c>
      <c r="C41" s="185" t="str">
        <f>IF(OR(A41="Samstag",A41="Sonntag"),"",IF(COUNTIF(Übersicht!C$16:C$30,B41)&gt;0,"BA",""))</f>
        <v/>
      </c>
      <c r="D41" s="38"/>
      <c r="E41" s="172">
        <f t="shared" si="4"/>
        <v>2</v>
      </c>
      <c r="F41" s="176"/>
      <c r="G41" s="177"/>
      <c r="H41" s="178"/>
      <c r="I41" s="38">
        <f t="shared" si="1"/>
        <v>0</v>
      </c>
      <c r="J41" s="35">
        <f t="shared" si="3"/>
        <v>-2</v>
      </c>
      <c r="K41" s="36">
        <f t="shared" si="5"/>
        <v>-241.25</v>
      </c>
      <c r="L41" s="251"/>
      <c r="M41" s="252"/>
      <c r="N41" s="252"/>
      <c r="O41" s="252"/>
      <c r="P41" s="253"/>
      <c r="Q41" s="89"/>
      <c r="R41" s="165"/>
      <c r="S41" s="76"/>
      <c r="T41" s="76"/>
      <c r="U41" s="76"/>
      <c r="V41" s="76"/>
      <c r="W41" s="76"/>
      <c r="X41" s="76"/>
      <c r="Y41" s="76"/>
      <c r="Z41" s="76"/>
      <c r="AA41" s="68"/>
      <c r="AB41" s="166"/>
      <c r="AC41" s="6"/>
      <c r="AD41" s="95"/>
      <c r="AE41" s="99"/>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row>
    <row r="42" spans="1:252" s="96" customFormat="1" ht="20.25" customHeight="1">
      <c r="A42" s="32" t="str">
        <f t="shared" si="0"/>
        <v>Donnerstag</v>
      </c>
      <c r="B42" s="37">
        <f t="shared" si="2"/>
        <v>43090</v>
      </c>
      <c r="C42" s="185" t="str">
        <f>IF(OR(A42="Samstag",A42="Sonntag"),"",IF(COUNTIF(Übersicht!C$16:C$30,B42)&gt;0,"BA",""))</f>
        <v/>
      </c>
      <c r="D42" s="38"/>
      <c r="E42" s="172">
        <f t="shared" si="4"/>
        <v>2</v>
      </c>
      <c r="F42" s="176"/>
      <c r="G42" s="177"/>
      <c r="H42" s="178"/>
      <c r="I42" s="38">
        <f t="shared" si="1"/>
        <v>0</v>
      </c>
      <c r="J42" s="35">
        <f t="shared" si="3"/>
        <v>-2</v>
      </c>
      <c r="K42" s="36">
        <f t="shared" si="5"/>
        <v>-243.25</v>
      </c>
      <c r="L42" s="251"/>
      <c r="M42" s="252"/>
      <c r="N42" s="252"/>
      <c r="O42" s="252"/>
      <c r="P42" s="253"/>
      <c r="Q42" s="89"/>
      <c r="R42" s="165"/>
      <c r="S42" s="76"/>
      <c r="T42" s="76"/>
      <c r="U42" s="76"/>
      <c r="V42" s="76"/>
      <c r="W42" s="76"/>
      <c r="X42" s="76"/>
      <c r="Y42" s="76"/>
      <c r="Z42" s="76"/>
      <c r="AA42" s="68"/>
      <c r="AB42" s="166"/>
      <c r="AC42" s="6"/>
      <c r="AD42" s="95"/>
      <c r="AE42" s="99"/>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row>
    <row r="43" spans="1:252" s="96" customFormat="1" ht="20.25" customHeight="1">
      <c r="A43" s="32" t="str">
        <f t="shared" si="0"/>
        <v>Freitag</v>
      </c>
      <c r="B43" s="37">
        <f t="shared" si="2"/>
        <v>43091</v>
      </c>
      <c r="C43" s="185" t="str">
        <f>IF(OR(A43="Samstag",A43="Sonntag"),"",IF(COUNTIF(Übersicht!C$16:C$30,B43)&gt;0,"BA",""))</f>
        <v/>
      </c>
      <c r="D43" s="38"/>
      <c r="E43" s="172">
        <f t="shared" si="4"/>
        <v>2</v>
      </c>
      <c r="F43" s="176"/>
      <c r="G43" s="177"/>
      <c r="H43" s="178"/>
      <c r="I43" s="38">
        <f t="shared" si="1"/>
        <v>0</v>
      </c>
      <c r="J43" s="35">
        <f t="shared" si="3"/>
        <v>-2</v>
      </c>
      <c r="K43" s="36">
        <f t="shared" si="5"/>
        <v>-245.25</v>
      </c>
      <c r="L43" s="251"/>
      <c r="M43" s="252"/>
      <c r="N43" s="252"/>
      <c r="O43" s="252"/>
      <c r="P43" s="253"/>
      <c r="Q43" s="89"/>
      <c r="R43" s="165"/>
      <c r="S43" s="76"/>
      <c r="T43" s="76"/>
      <c r="U43" s="76"/>
      <c r="V43" s="76"/>
      <c r="W43" s="76"/>
      <c r="X43" s="76"/>
      <c r="Y43" s="76"/>
      <c r="Z43" s="76"/>
      <c r="AA43" s="68"/>
      <c r="AB43" s="166"/>
      <c r="AC43" s="6"/>
      <c r="AD43" s="95"/>
      <c r="AE43" s="99"/>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row>
    <row r="44" spans="1:252" s="96" customFormat="1" ht="20.25" customHeight="1">
      <c r="A44" s="32" t="str">
        <f t="shared" si="0"/>
        <v>Samstag</v>
      </c>
      <c r="B44" s="37">
        <f t="shared" si="2"/>
        <v>43092</v>
      </c>
      <c r="C44" s="185" t="str">
        <f>IF(OR(A44="Samstag",A44="Sonntag"),"",IF(COUNTIF(Übersicht!C$16:C$30,B44)&gt;0,"BA",""))</f>
        <v/>
      </c>
      <c r="D44" s="38"/>
      <c r="E44" s="172" t="str">
        <f t="shared" si="4"/>
        <v/>
      </c>
      <c r="F44" s="176"/>
      <c r="G44" s="177"/>
      <c r="H44" s="178"/>
      <c r="I44" s="38">
        <f t="shared" si="1"/>
        <v>0</v>
      </c>
      <c r="J44" s="35">
        <f t="shared" si="3"/>
        <v>0</v>
      </c>
      <c r="K44" s="36">
        <f t="shared" si="5"/>
        <v>-245.25</v>
      </c>
      <c r="L44" s="251"/>
      <c r="M44" s="252"/>
      <c r="N44" s="252"/>
      <c r="O44" s="252"/>
      <c r="P44" s="253"/>
      <c r="Q44" s="89"/>
      <c r="R44" s="165"/>
      <c r="S44" s="76"/>
      <c r="T44" s="76"/>
      <c r="U44" s="76"/>
      <c r="V44" s="76"/>
      <c r="W44" s="76"/>
      <c r="X44" s="76"/>
      <c r="Y44" s="76"/>
      <c r="Z44" s="76"/>
      <c r="AA44" s="68"/>
      <c r="AB44" s="166"/>
      <c r="AC44" s="6"/>
      <c r="AD44" s="95"/>
      <c r="AE44" s="99"/>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row>
    <row r="45" spans="1:252" s="96" customFormat="1" ht="20.25" customHeight="1">
      <c r="A45" s="32" t="str">
        <f t="shared" si="0"/>
        <v>Sonntag</v>
      </c>
      <c r="B45" s="37">
        <f t="shared" si="2"/>
        <v>43093</v>
      </c>
      <c r="C45" s="185" t="str">
        <f>IF(OR(A45="Samstag",A45="Sonntag"),"",IF(COUNTIF(Übersicht!C$16:C$30,B45)&gt;0,"BA",""))</f>
        <v/>
      </c>
      <c r="D45" s="38"/>
      <c r="E45" s="172" t="str">
        <f t="shared" si="4"/>
        <v/>
      </c>
      <c r="F45" s="176"/>
      <c r="G45" s="177"/>
      <c r="H45" s="178"/>
      <c r="I45" s="38">
        <f t="shared" si="1"/>
        <v>0</v>
      </c>
      <c r="J45" s="35">
        <f t="shared" si="3"/>
        <v>0</v>
      </c>
      <c r="K45" s="36">
        <f t="shared" si="5"/>
        <v>-245.25</v>
      </c>
      <c r="L45" s="251"/>
      <c r="M45" s="252"/>
      <c r="N45" s="252"/>
      <c r="O45" s="252"/>
      <c r="P45" s="253"/>
      <c r="Q45" s="89"/>
      <c r="R45" s="165"/>
      <c r="S45" s="76"/>
      <c r="T45" s="76"/>
      <c r="U45" s="76"/>
      <c r="V45" s="76"/>
      <c r="W45" s="76"/>
      <c r="X45" s="76"/>
      <c r="Y45" s="76"/>
      <c r="Z45" s="76"/>
      <c r="AA45" s="68"/>
      <c r="AB45" s="166"/>
      <c r="AC45" s="6"/>
      <c r="AD45" s="95"/>
      <c r="AE45" s="99"/>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row>
    <row r="46" spans="1:252" s="96" customFormat="1" ht="20.25" customHeight="1">
      <c r="A46" s="32" t="str">
        <f t="shared" si="0"/>
        <v>Montag</v>
      </c>
      <c r="B46" s="37">
        <f t="shared" si="2"/>
        <v>43094</v>
      </c>
      <c r="C46" s="185" t="str">
        <f>IF(OR(A46="Samstag",A46="Sonntag"),"",IF(COUNTIF(Übersicht!C$16:C$30,B46)&gt;0,"BA",""))</f>
        <v>BA</v>
      </c>
      <c r="D46" s="38"/>
      <c r="E46" s="172" t="str">
        <f t="shared" si="4"/>
        <v/>
      </c>
      <c r="F46" s="176"/>
      <c r="G46" s="177"/>
      <c r="H46" s="178"/>
      <c r="I46" s="38">
        <f t="shared" si="1"/>
        <v>0</v>
      </c>
      <c r="J46" s="35">
        <f t="shared" si="3"/>
        <v>0</v>
      </c>
      <c r="K46" s="36">
        <f t="shared" si="5"/>
        <v>-245.25</v>
      </c>
      <c r="L46" s="251"/>
      <c r="M46" s="252"/>
      <c r="N46" s="252"/>
      <c r="O46" s="252"/>
      <c r="P46" s="253"/>
      <c r="Q46" s="89"/>
      <c r="R46" s="165"/>
      <c r="S46" s="76"/>
      <c r="T46" s="76"/>
      <c r="U46" s="76"/>
      <c r="V46" s="76"/>
      <c r="W46" s="76"/>
      <c r="X46" s="76"/>
      <c r="Y46" s="76"/>
      <c r="Z46" s="76"/>
      <c r="AA46" s="68"/>
      <c r="AB46" s="166"/>
      <c r="AC46" s="6"/>
      <c r="AD46" s="95"/>
      <c r="AE46" s="99"/>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row>
    <row r="47" spans="1:252" s="96" customFormat="1" ht="20.25" customHeight="1">
      <c r="A47" s="32" t="str">
        <f t="shared" si="0"/>
        <v>Dienstag</v>
      </c>
      <c r="B47" s="37">
        <f t="shared" si="2"/>
        <v>43095</v>
      </c>
      <c r="C47" s="185" t="str">
        <f>IF(OR(A47="Samstag",A47="Sonntag"),"",IF(COUNTIF(Übersicht!C$16:C$30,B47)&gt;0,"BA",""))</f>
        <v>BA</v>
      </c>
      <c r="D47" s="38"/>
      <c r="E47" s="172" t="str">
        <f t="shared" si="4"/>
        <v/>
      </c>
      <c r="F47" s="176"/>
      <c r="G47" s="177"/>
      <c r="H47" s="178"/>
      <c r="I47" s="38">
        <f t="shared" si="1"/>
        <v>0</v>
      </c>
      <c r="J47" s="35">
        <f t="shared" si="3"/>
        <v>0</v>
      </c>
      <c r="K47" s="36">
        <f t="shared" si="5"/>
        <v>-245.25</v>
      </c>
      <c r="L47" s="251"/>
      <c r="M47" s="252"/>
      <c r="N47" s="252"/>
      <c r="O47" s="252"/>
      <c r="P47" s="253"/>
      <c r="Q47" s="89"/>
      <c r="R47" s="165"/>
      <c r="S47" s="76"/>
      <c r="T47" s="76"/>
      <c r="U47" s="76"/>
      <c r="V47" s="76"/>
      <c r="W47" s="76"/>
      <c r="X47" s="76"/>
      <c r="Y47" s="76"/>
      <c r="Z47" s="76"/>
      <c r="AA47" s="68"/>
      <c r="AB47" s="166"/>
      <c r="AC47" s="6"/>
      <c r="AD47" s="95"/>
      <c r="AE47" s="99"/>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row>
    <row r="48" spans="1:252" s="96" customFormat="1" ht="20.25" customHeight="1">
      <c r="A48" s="32" t="str">
        <f t="shared" si="0"/>
        <v>Mittwoch</v>
      </c>
      <c r="B48" s="37">
        <f t="shared" si="2"/>
        <v>43096</v>
      </c>
      <c r="C48" s="185" t="str">
        <f>IF(OR(A48="Samstag",A48="Sonntag"),"",IF(COUNTIF(Übersicht!C$16:C$30,B48)&gt;0,"BA",""))</f>
        <v/>
      </c>
      <c r="D48" s="38"/>
      <c r="E48" s="172">
        <f t="shared" si="4"/>
        <v>2</v>
      </c>
      <c r="F48" s="176"/>
      <c r="G48" s="177"/>
      <c r="H48" s="178"/>
      <c r="I48" s="38">
        <f t="shared" si="1"/>
        <v>0</v>
      </c>
      <c r="J48" s="35">
        <f t="shared" si="3"/>
        <v>-2</v>
      </c>
      <c r="K48" s="36">
        <f t="shared" si="5"/>
        <v>-247.25</v>
      </c>
      <c r="L48" s="251"/>
      <c r="M48" s="252"/>
      <c r="N48" s="252"/>
      <c r="O48" s="252"/>
      <c r="P48" s="253"/>
      <c r="Q48" s="89"/>
      <c r="R48" s="165"/>
      <c r="S48" s="76"/>
      <c r="T48" s="76"/>
      <c r="U48" s="76"/>
      <c r="V48" s="76"/>
      <c r="W48" s="76"/>
      <c r="X48" s="76"/>
      <c r="Y48" s="76"/>
      <c r="Z48" s="76"/>
      <c r="AA48" s="68"/>
      <c r="AB48" s="166"/>
      <c r="AC48" s="6"/>
      <c r="AD48" s="95"/>
      <c r="AE48" s="99"/>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row>
    <row r="49" spans="1:252" s="96" customFormat="1" ht="20.25" customHeight="1">
      <c r="A49" s="32" t="str">
        <f t="shared" si="0"/>
        <v>Donnerstag</v>
      </c>
      <c r="B49" s="37">
        <f t="shared" si="2"/>
        <v>43097</v>
      </c>
      <c r="C49" s="185" t="str">
        <f>IF(OR(A49="Samstag",A49="Sonntag"),"",IF(COUNTIF(Übersicht!C$16:C$30,B49)&gt;0,"BA",""))</f>
        <v/>
      </c>
      <c r="D49" s="38"/>
      <c r="E49" s="172">
        <f t="shared" si="4"/>
        <v>2</v>
      </c>
      <c r="F49" s="176"/>
      <c r="G49" s="177"/>
      <c r="H49" s="178"/>
      <c r="I49" s="38">
        <f t="shared" si="1"/>
        <v>0</v>
      </c>
      <c r="J49" s="35">
        <f t="shared" si="3"/>
        <v>-2</v>
      </c>
      <c r="K49" s="36">
        <f t="shared" si="5"/>
        <v>-249.25</v>
      </c>
      <c r="L49" s="251"/>
      <c r="M49" s="252"/>
      <c r="N49" s="252"/>
      <c r="O49" s="252"/>
      <c r="P49" s="253"/>
      <c r="Q49" s="89"/>
      <c r="R49" s="165"/>
      <c r="S49" s="76"/>
      <c r="T49" s="76"/>
      <c r="U49" s="76"/>
      <c r="V49" s="76"/>
      <c r="W49" s="76"/>
      <c r="X49" s="76"/>
      <c r="Y49" s="76"/>
      <c r="Z49" s="76"/>
      <c r="AA49" s="68"/>
      <c r="AB49" s="166"/>
      <c r="AC49" s="6"/>
      <c r="AD49" s="95"/>
      <c r="AE49" s="99"/>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row>
    <row r="50" spans="1:252" s="96" customFormat="1" ht="20.25" customHeight="1">
      <c r="A50" s="32" t="str">
        <f t="shared" si="0"/>
        <v>Freitag</v>
      </c>
      <c r="B50" s="37">
        <f t="shared" si="2"/>
        <v>43098</v>
      </c>
      <c r="C50" s="185" t="str">
        <f>IF(OR(A50="Samstag",A50="Sonntag"),"",IF(COUNTIF(Übersicht!C$16:C$30,B50)&gt;0,"BA",""))</f>
        <v/>
      </c>
      <c r="D50" s="38"/>
      <c r="E50" s="172">
        <f t="shared" si="4"/>
        <v>2</v>
      </c>
      <c r="F50" s="176"/>
      <c r="G50" s="177"/>
      <c r="H50" s="178"/>
      <c r="I50" s="38">
        <f t="shared" si="1"/>
        <v>0</v>
      </c>
      <c r="J50" s="35">
        <f t="shared" si="3"/>
        <v>-2</v>
      </c>
      <c r="K50" s="36">
        <f t="shared" si="5"/>
        <v>-251.25</v>
      </c>
      <c r="L50" s="251"/>
      <c r="M50" s="252"/>
      <c r="N50" s="252"/>
      <c r="O50" s="252"/>
      <c r="P50" s="253"/>
      <c r="Q50" s="89"/>
      <c r="R50" s="165"/>
      <c r="S50" s="76"/>
      <c r="T50" s="76"/>
      <c r="U50" s="76"/>
      <c r="V50" s="76"/>
      <c r="W50" s="76"/>
      <c r="X50" s="76"/>
      <c r="Y50" s="76"/>
      <c r="Z50" s="76"/>
      <c r="AA50" s="68"/>
      <c r="AB50" s="166"/>
      <c r="AC50" s="6"/>
      <c r="AD50" s="95"/>
      <c r="AE50" s="99"/>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row>
    <row r="51" spans="1:252" s="96" customFormat="1" ht="20.25" customHeight="1">
      <c r="A51" s="32" t="str">
        <f t="shared" si="0"/>
        <v>Samstag</v>
      </c>
      <c r="B51" s="37">
        <f t="shared" si="2"/>
        <v>43099</v>
      </c>
      <c r="C51" s="185" t="str">
        <f>IF(OR(A51="Samstag",A51="Sonntag"),"",IF(COUNTIF(Übersicht!C$16:C$30,B51)&gt;0,"BA",""))</f>
        <v/>
      </c>
      <c r="D51" s="38"/>
      <c r="E51" s="172" t="str">
        <f t="shared" si="4"/>
        <v/>
      </c>
      <c r="F51" s="176"/>
      <c r="G51" s="177"/>
      <c r="H51" s="178"/>
      <c r="I51" s="38">
        <f t="shared" si="1"/>
        <v>0</v>
      </c>
      <c r="J51" s="35">
        <f t="shared" si="3"/>
        <v>0</v>
      </c>
      <c r="K51" s="36">
        <f t="shared" si="5"/>
        <v>-251.25</v>
      </c>
      <c r="L51" s="251"/>
      <c r="M51" s="252"/>
      <c r="N51" s="252"/>
      <c r="O51" s="252"/>
      <c r="P51" s="253"/>
      <c r="Q51" s="89"/>
      <c r="R51" s="165"/>
      <c r="S51" s="76"/>
      <c r="T51" s="76"/>
      <c r="U51" s="76"/>
      <c r="V51" s="76"/>
      <c r="W51" s="76"/>
      <c r="X51" s="76"/>
      <c r="Y51" s="76"/>
      <c r="Z51" s="76"/>
      <c r="AA51" s="68"/>
      <c r="AB51" s="166"/>
      <c r="AC51" s="6"/>
      <c r="AD51" s="95"/>
      <c r="AE51" s="99"/>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row>
    <row r="52" spans="1:252" s="96" customFormat="1" ht="20.25" customHeight="1" thickBot="1">
      <c r="A52" s="32" t="str">
        <f t="shared" si="0"/>
        <v>Sonntag</v>
      </c>
      <c r="B52" s="37">
        <f t="shared" si="2"/>
        <v>43100</v>
      </c>
      <c r="C52" s="185" t="str">
        <f>IF(OR(A52="Samstag",A52="Sonntag"),"",IF(COUNTIF(Übersicht!C$16:C$30,B52)&gt;0,"BA",""))</f>
        <v/>
      </c>
      <c r="D52" s="39"/>
      <c r="E52" s="172" t="str">
        <f t="shared" si="4"/>
        <v/>
      </c>
      <c r="F52" s="198"/>
      <c r="G52" s="199"/>
      <c r="H52" s="200"/>
      <c r="I52" s="38">
        <f t="shared" si="1"/>
        <v>0</v>
      </c>
      <c r="J52" s="35">
        <f t="shared" si="3"/>
        <v>0</v>
      </c>
      <c r="K52" s="40">
        <f t="shared" si="5"/>
        <v>-251.25</v>
      </c>
      <c r="L52" s="282"/>
      <c r="M52" s="283"/>
      <c r="N52" s="283"/>
      <c r="O52" s="283"/>
      <c r="P52" s="284"/>
      <c r="Q52" s="89"/>
      <c r="R52" s="165"/>
      <c r="S52" s="77"/>
      <c r="T52" s="77"/>
      <c r="U52" s="77"/>
      <c r="V52" s="77"/>
      <c r="W52" s="77"/>
      <c r="X52" s="77"/>
      <c r="Y52" s="77"/>
      <c r="Z52" s="78"/>
      <c r="AA52" s="68"/>
      <c r="AB52" s="166"/>
      <c r="AC52" s="6"/>
      <c r="AD52" s="95"/>
      <c r="AE52" s="99"/>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row>
    <row r="53" spans="1:252" s="96" customFormat="1" ht="18.75" customHeight="1">
      <c r="A53" s="6"/>
      <c r="B53" s="41" t="s">
        <v>26</v>
      </c>
      <c r="C53" s="42"/>
      <c r="D53" s="43"/>
      <c r="E53" s="43" t="s">
        <v>11</v>
      </c>
      <c r="F53" s="44"/>
      <c r="G53" s="44"/>
      <c r="H53" s="44"/>
      <c r="I53" s="43" t="s">
        <v>20</v>
      </c>
      <c r="J53" s="43" t="s">
        <v>28</v>
      </c>
      <c r="K53" s="43" t="s">
        <v>27</v>
      </c>
      <c r="L53" s="45"/>
      <c r="M53" s="45"/>
      <c r="N53" s="45"/>
      <c r="O53" s="45"/>
      <c r="P53" s="46"/>
      <c r="Q53" s="160"/>
      <c r="R53" s="160"/>
      <c r="S53" s="76"/>
      <c r="T53" s="183"/>
      <c r="U53" s="79"/>
      <c r="V53" s="6"/>
      <c r="W53" s="78"/>
      <c r="X53" s="76"/>
      <c r="Y53" s="80"/>
      <c r="Z53" s="80"/>
      <c r="AA53" s="68"/>
      <c r="AB53" s="68"/>
      <c r="AC53" s="6"/>
      <c r="AD53" s="95"/>
      <c r="AE53" s="99"/>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row>
    <row r="54" spans="1:252" s="96" customFormat="1" ht="18.75" customHeight="1">
      <c r="A54" s="6"/>
      <c r="B54" s="47"/>
      <c r="C54" s="48"/>
      <c r="D54" s="49"/>
      <c r="E54" s="50">
        <f>SUM(E22:E52)</f>
        <v>38</v>
      </c>
      <c r="F54" s="51"/>
      <c r="G54" s="52"/>
      <c r="H54" s="49"/>
      <c r="I54" s="50">
        <f>SUM(I22:I52)</f>
        <v>0</v>
      </c>
      <c r="J54" s="50">
        <f>SUM(J22:J52)</f>
        <v>-38</v>
      </c>
      <c r="K54" s="50">
        <f>K52</f>
        <v>-251.25</v>
      </c>
      <c r="L54" s="91"/>
      <c r="M54" s="91"/>
      <c r="N54" s="91"/>
      <c r="O54" s="91"/>
      <c r="P54" s="53"/>
      <c r="Q54" s="161"/>
      <c r="R54" s="161"/>
      <c r="S54" s="81"/>
      <c r="T54" s="82"/>
      <c r="U54" s="82"/>
      <c r="V54" s="6"/>
      <c r="W54" s="81"/>
      <c r="X54" s="81"/>
      <c r="Y54" s="6"/>
      <c r="Z54" s="6"/>
      <c r="AA54" s="68"/>
      <c r="AB54" s="68"/>
      <c r="AC54" s="6"/>
      <c r="AD54" s="95"/>
      <c r="AE54" s="99"/>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row>
    <row r="55" spans="1:252" s="96" customFormat="1" ht="15">
      <c r="A55" s="6"/>
      <c r="B55" s="54"/>
      <c r="C55" s="54"/>
      <c r="D55" s="54"/>
      <c r="E55" s="54"/>
      <c r="F55" s="55"/>
      <c r="G55" s="56"/>
      <c r="H55" s="100"/>
      <c r="I55" s="6"/>
      <c r="J55" s="101"/>
      <c r="K55" s="257" t="str">
        <f>IF($E$54*1.5&lt;IF($M$7&lt;0,$I$54+$M$7,$I$54),"Überschreitung der zulässigen Monatsarbeitszeit um &gt;50%","")</f>
        <v/>
      </c>
      <c r="L55" s="257"/>
      <c r="M55" s="257"/>
      <c r="N55" s="257"/>
      <c r="O55" s="257"/>
      <c r="P55" s="60"/>
      <c r="Q55" s="162"/>
      <c r="R55" s="162"/>
      <c r="S55" s="83"/>
      <c r="T55" s="83"/>
      <c r="U55" s="83"/>
      <c r="V55" s="6"/>
      <c r="W55" s="6"/>
      <c r="X55" s="76"/>
      <c r="Y55" s="6"/>
      <c r="Z55" s="6"/>
      <c r="AA55" s="68"/>
      <c r="AB55" s="68"/>
      <c r="AC55" s="6"/>
      <c r="AD55" s="95"/>
      <c r="AE55" s="99"/>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row>
    <row r="56" spans="1:252" s="96" customFormat="1" ht="15">
      <c r="A56" s="6"/>
      <c r="B56" s="54"/>
      <c r="C56" s="54"/>
      <c r="D56" s="54"/>
      <c r="E56" s="54"/>
      <c r="F56" s="55"/>
      <c r="G56" s="56"/>
      <c r="H56" s="102"/>
      <c r="I56" s="101"/>
      <c r="J56" s="101"/>
      <c r="K56" s="58"/>
      <c r="L56" s="59"/>
      <c r="M56" s="59"/>
      <c r="N56" s="59"/>
      <c r="O56" s="59"/>
      <c r="P56" s="60"/>
      <c r="Q56" s="162"/>
      <c r="R56" s="162"/>
      <c r="S56" s="83"/>
      <c r="T56" s="83"/>
      <c r="U56" s="83"/>
      <c r="V56" s="6"/>
      <c r="W56" s="6"/>
      <c r="X56" s="81"/>
      <c r="Y56" s="6"/>
      <c r="Z56" s="6"/>
      <c r="AA56" s="68"/>
      <c r="AB56" s="68"/>
      <c r="AC56" s="6"/>
      <c r="AD56" s="95"/>
      <c r="AE56" s="99"/>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row>
    <row r="57" spans="1:252" s="96" customFormat="1" ht="15">
      <c r="A57" s="6"/>
      <c r="B57" s="61"/>
      <c r="C57" s="61"/>
      <c r="D57" s="61"/>
      <c r="E57" s="61"/>
      <c r="F57" s="61"/>
      <c r="G57" s="61"/>
      <c r="H57" s="62"/>
      <c r="I57" s="6"/>
      <c r="J57" s="6"/>
      <c r="K57" s="6" t="s">
        <v>75</v>
      </c>
      <c r="L57" s="6"/>
      <c r="M57" s="6"/>
      <c r="N57" s="6"/>
      <c r="O57" s="57"/>
      <c r="P57" s="24"/>
      <c r="Q57" s="156"/>
      <c r="R57" s="156"/>
      <c r="S57" s="6"/>
      <c r="T57" s="6"/>
      <c r="U57" s="6"/>
      <c r="V57" s="6"/>
      <c r="W57" s="6"/>
      <c r="X57" s="6"/>
      <c r="Y57" s="6"/>
      <c r="Z57" s="6"/>
      <c r="AA57" s="68"/>
      <c r="AB57" s="68"/>
      <c r="AC57" s="6"/>
      <c r="AD57" s="95"/>
      <c r="AE57" s="99"/>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row>
    <row r="58" spans="1:252" s="96" customFormat="1" ht="15">
      <c r="A58" s="6"/>
      <c r="B58" s="62"/>
      <c r="C58" s="62"/>
      <c r="D58" s="62"/>
      <c r="E58" s="62"/>
      <c r="F58" s="62"/>
      <c r="G58" s="62"/>
      <c r="H58" s="32"/>
      <c r="I58" s="103"/>
      <c r="J58" s="68"/>
      <c r="K58" s="6" t="s">
        <v>76</v>
      </c>
      <c r="L58" s="206"/>
      <c r="M58" s="207"/>
      <c r="N58" s="207"/>
      <c r="O58" s="201"/>
      <c r="P58" s="63"/>
      <c r="Q58" s="163"/>
      <c r="R58" s="163"/>
      <c r="S58" s="84"/>
      <c r="T58" s="84"/>
      <c r="U58" s="84"/>
      <c r="V58" s="6"/>
      <c r="W58" s="6"/>
      <c r="X58" s="6"/>
      <c r="Y58" s="6"/>
      <c r="Z58" s="6"/>
      <c r="AA58" s="68"/>
      <c r="AB58" s="68"/>
      <c r="AC58" s="6"/>
      <c r="AD58" s="95"/>
      <c r="AE58" s="99"/>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row>
    <row r="59" spans="1:252" s="96" customFormat="1" ht="15">
      <c r="A59" s="6"/>
      <c r="B59" s="64"/>
      <c r="C59" s="64"/>
      <c r="D59" s="64"/>
      <c r="E59" s="64"/>
      <c r="F59" s="64"/>
      <c r="G59" s="62"/>
      <c r="H59" s="208"/>
      <c r="I59" s="208"/>
      <c r="J59" s="208"/>
      <c r="K59" s="65"/>
      <c r="L59" s="65"/>
      <c r="M59" s="65"/>
      <c r="N59" s="65"/>
      <c r="O59" s="65"/>
      <c r="P59" s="66"/>
      <c r="Q59" s="156"/>
      <c r="R59" s="156"/>
      <c r="S59" s="6"/>
      <c r="T59" s="6"/>
      <c r="U59" s="6"/>
      <c r="V59" s="6"/>
      <c r="W59" s="6"/>
      <c r="X59" s="6"/>
      <c r="Y59" s="6"/>
      <c r="Z59" s="6"/>
      <c r="AA59" s="68"/>
      <c r="AB59" s="68"/>
      <c r="AC59" s="6"/>
      <c r="AD59" s="95"/>
      <c r="AE59" s="99"/>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row>
    <row r="60" spans="1:252" s="96" customFormat="1" ht="15">
      <c r="A60" s="6"/>
      <c r="B60" s="67" t="s">
        <v>4</v>
      </c>
      <c r="C60" s="280" t="s">
        <v>5</v>
      </c>
      <c r="D60" s="280"/>
      <c r="E60" s="280"/>
      <c r="F60" s="280"/>
      <c r="G60" s="281"/>
      <c r="H60" s="32"/>
      <c r="I60" s="104"/>
      <c r="J60" s="6"/>
      <c r="K60" s="67" t="s">
        <v>4</v>
      </c>
      <c r="L60" s="281" t="s">
        <v>66</v>
      </c>
      <c r="M60" s="281"/>
      <c r="N60" s="281"/>
      <c r="O60" s="281"/>
      <c r="P60" s="281"/>
      <c r="Q60" s="24"/>
      <c r="R60" s="6"/>
      <c r="S60" s="6"/>
      <c r="T60" s="6"/>
      <c r="U60" s="6"/>
      <c r="V60" s="6"/>
      <c r="W60" s="6"/>
      <c r="X60" s="6"/>
      <c r="Y60" s="6"/>
      <c r="Z60" s="6"/>
      <c r="AA60" s="68"/>
      <c r="AB60" s="68"/>
      <c r="AC60" s="6"/>
      <c r="AD60" s="95"/>
      <c r="AE60" s="99"/>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row>
    <row r="61" spans="1:252" s="96" customFormat="1" ht="15">
      <c r="A61" s="6"/>
      <c r="B61" s="67"/>
      <c r="C61" s="205"/>
      <c r="D61" s="205"/>
      <c r="E61" s="205"/>
      <c r="F61" s="205"/>
      <c r="G61" s="205"/>
      <c r="H61" s="32"/>
      <c r="I61" s="104"/>
      <c r="J61" s="6"/>
      <c r="K61" s="67"/>
      <c r="L61" s="205"/>
      <c r="M61" s="205"/>
      <c r="N61" s="205"/>
      <c r="O61" s="205"/>
      <c r="P61" s="205"/>
      <c r="Q61" s="24"/>
      <c r="R61" s="6"/>
      <c r="S61" s="6"/>
      <c r="T61" s="6"/>
      <c r="U61" s="6"/>
      <c r="V61" s="6"/>
      <c r="W61" s="6"/>
      <c r="X61" s="6"/>
      <c r="Y61" s="6"/>
      <c r="Z61" s="6"/>
      <c r="AA61" s="68"/>
      <c r="AB61" s="68"/>
      <c r="AC61" s="6"/>
      <c r="AD61" s="95"/>
      <c r="AE61" s="99"/>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row>
    <row r="62" spans="1:252" s="96" customFormat="1" ht="15">
      <c r="A62" s="6"/>
      <c r="B62" s="57"/>
      <c r="C62" s="57"/>
      <c r="D62" s="57"/>
      <c r="E62" s="57"/>
      <c r="F62" s="57"/>
      <c r="G62" s="57"/>
      <c r="H62" s="105" t="s">
        <v>46</v>
      </c>
      <c r="I62" s="32"/>
      <c r="J62" s="106">
        <v>42114</v>
      </c>
      <c r="K62" s="57"/>
      <c r="L62" s="57"/>
      <c r="M62" s="57"/>
      <c r="N62" s="57"/>
      <c r="O62" s="57"/>
      <c r="P62" s="24"/>
      <c r="Q62" s="24"/>
      <c r="R62" s="6"/>
      <c r="S62" s="6"/>
      <c r="T62" s="6"/>
      <c r="U62" s="6"/>
      <c r="V62" s="68"/>
      <c r="W62" s="6"/>
      <c r="X62" s="6"/>
      <c r="Y62" s="6"/>
      <c r="Z62" s="6"/>
      <c r="AA62" s="68"/>
      <c r="AB62" s="68"/>
      <c r="AC62" s="6"/>
      <c r="AD62" s="95"/>
      <c r="AE62" s="99"/>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row>
    <row r="63" spans="1:252" s="96" customFormat="1" ht="15" hidden="1">
      <c r="A63" s="6"/>
      <c r="B63" s="57"/>
      <c r="C63" s="57"/>
      <c r="D63" s="57"/>
      <c r="E63" s="57"/>
      <c r="F63" s="57"/>
      <c r="G63" s="57"/>
      <c r="H63" s="57"/>
      <c r="I63" s="57"/>
      <c r="J63" s="57"/>
      <c r="K63" s="57"/>
      <c r="L63" s="57"/>
      <c r="M63" s="57"/>
      <c r="N63" s="57"/>
      <c r="O63" s="57"/>
      <c r="P63" s="24"/>
      <c r="Q63" s="24"/>
      <c r="R63" s="6"/>
      <c r="S63" s="6"/>
      <c r="T63" s="6"/>
      <c r="U63" s="6"/>
      <c r="V63" s="6"/>
      <c r="W63" s="6"/>
      <c r="X63" s="6"/>
      <c r="Y63" s="6"/>
      <c r="Z63" s="6"/>
      <c r="AA63" s="68"/>
      <c r="AB63" s="68"/>
      <c r="AC63" s="6"/>
      <c r="AD63" s="95"/>
      <c r="AE63" s="99"/>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row>
    <row r="64" spans="1:252" s="96" customFormat="1" ht="15" hidden="1">
      <c r="A64" s="6"/>
      <c r="B64" s="57"/>
      <c r="C64" s="57"/>
      <c r="D64" s="57"/>
      <c r="E64" s="57"/>
      <c r="F64" s="57"/>
      <c r="G64" s="57"/>
      <c r="H64" s="57"/>
      <c r="I64" s="57"/>
      <c r="J64" s="57"/>
      <c r="K64" s="57"/>
      <c r="L64" s="57"/>
      <c r="M64" s="57"/>
      <c r="N64" s="57"/>
      <c r="O64" s="57"/>
      <c r="P64" s="24"/>
      <c r="Q64" s="24"/>
      <c r="R64" s="6"/>
      <c r="S64" s="6"/>
      <c r="T64" s="6"/>
      <c r="U64" s="6"/>
      <c r="V64" s="6"/>
      <c r="W64" s="6"/>
      <c r="X64" s="6"/>
      <c r="Y64" s="6"/>
      <c r="Z64" s="6"/>
      <c r="AA64" s="68"/>
      <c r="AB64" s="68"/>
      <c r="AC64" s="6"/>
      <c r="AD64" s="95"/>
      <c r="AE64" s="99"/>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row>
    <row r="65" spans="1:252" s="96" customFormat="1" ht="15" hidden="1">
      <c r="A65" s="6"/>
      <c r="B65" s="57"/>
      <c r="C65" s="57"/>
      <c r="D65" s="57"/>
      <c r="E65" s="57"/>
      <c r="F65" s="57"/>
      <c r="G65" s="57"/>
      <c r="H65" s="57"/>
      <c r="I65" s="57"/>
      <c r="J65" s="57"/>
      <c r="K65" s="57"/>
      <c r="L65" s="57"/>
      <c r="M65" s="57"/>
      <c r="N65" s="57"/>
      <c r="O65" s="57"/>
      <c r="P65" s="24"/>
      <c r="Q65" s="24"/>
      <c r="R65" s="6"/>
      <c r="S65" s="6"/>
      <c r="T65" s="6"/>
      <c r="U65" s="6"/>
      <c r="V65" s="6"/>
      <c r="W65" s="6"/>
      <c r="X65" s="6"/>
      <c r="Y65" s="6"/>
      <c r="Z65" s="6"/>
      <c r="AA65" s="68"/>
      <c r="AB65" s="68"/>
      <c r="AC65" s="6"/>
      <c r="AD65" s="95"/>
      <c r="AE65" s="99"/>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row>
    <row r="66" spans="1:252" s="96" customFormat="1" ht="15" hidden="1">
      <c r="A66" s="6"/>
      <c r="B66" s="57"/>
      <c r="C66" s="57"/>
      <c r="D66" s="57"/>
      <c r="E66" s="57"/>
      <c r="F66" s="57"/>
      <c r="G66" s="57"/>
      <c r="H66" s="57"/>
      <c r="I66" s="57"/>
      <c r="J66" s="57"/>
      <c r="K66" s="57"/>
      <c r="L66" s="57"/>
      <c r="M66" s="57"/>
      <c r="N66" s="57"/>
      <c r="O66" s="57"/>
      <c r="P66" s="24"/>
      <c r="Q66" s="24"/>
      <c r="R66" s="6"/>
      <c r="S66" s="6"/>
      <c r="T66" s="6"/>
      <c r="U66" s="6"/>
      <c r="V66" s="6"/>
      <c r="W66" s="6"/>
      <c r="X66" s="6"/>
      <c r="Y66" s="6"/>
      <c r="Z66" s="6"/>
      <c r="AA66" s="68"/>
      <c r="AB66" s="68"/>
      <c r="AC66" s="6"/>
      <c r="AD66" s="95"/>
      <c r="AE66" s="99"/>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row>
    <row r="67" spans="1:252" s="96" customFormat="1" ht="15" hidden="1">
      <c r="A67" s="6"/>
      <c r="B67" s="57"/>
      <c r="C67" s="57"/>
      <c r="D67" s="57"/>
      <c r="E67" s="57"/>
      <c r="F67" s="57"/>
      <c r="G67" s="57"/>
      <c r="H67" s="57"/>
      <c r="I67" s="57"/>
      <c r="J67" s="57"/>
      <c r="K67" s="57"/>
      <c r="L67" s="57"/>
      <c r="M67" s="57"/>
      <c r="N67" s="57"/>
      <c r="O67" s="57"/>
      <c r="P67" s="24"/>
      <c r="Q67" s="24"/>
      <c r="R67" s="6"/>
      <c r="S67" s="6"/>
      <c r="T67" s="6"/>
      <c r="U67" s="6"/>
      <c r="V67" s="6"/>
      <c r="W67" s="6"/>
      <c r="X67" s="6"/>
      <c r="Y67" s="6"/>
      <c r="Z67" s="6"/>
      <c r="AA67" s="68"/>
      <c r="AB67" s="68"/>
      <c r="AC67" s="6"/>
      <c r="AD67" s="95"/>
      <c r="AE67" s="99"/>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row>
    <row r="68" spans="1:252" s="96" customFormat="1" ht="15" hidden="1">
      <c r="A68" s="6"/>
      <c r="B68" s="57"/>
      <c r="C68" s="57"/>
      <c r="D68" s="57"/>
      <c r="E68" s="57"/>
      <c r="F68" s="57"/>
      <c r="G68" s="57"/>
      <c r="H68" s="57"/>
      <c r="I68" s="57"/>
      <c r="J68" s="57"/>
      <c r="K68" s="57"/>
      <c r="L68" s="57"/>
      <c r="M68" s="57"/>
      <c r="N68" s="57"/>
      <c r="O68" s="57"/>
      <c r="P68" s="24"/>
      <c r="Q68" s="24"/>
      <c r="R68" s="6"/>
      <c r="S68" s="6"/>
      <c r="T68" s="6"/>
      <c r="U68" s="6"/>
      <c r="V68" s="6"/>
      <c r="W68" s="6"/>
      <c r="X68" s="6"/>
      <c r="Y68" s="6"/>
      <c r="Z68" s="6"/>
      <c r="AA68" s="68"/>
      <c r="AB68" s="68"/>
      <c r="AC68" s="6"/>
      <c r="AD68" s="95"/>
      <c r="AE68" s="99"/>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row>
    <row r="69" spans="1:252" s="96" customFormat="1" ht="15" hidden="1">
      <c r="A69" s="6"/>
      <c r="B69" s="57"/>
      <c r="C69" s="57"/>
      <c r="D69" s="57"/>
      <c r="E69" s="57"/>
      <c r="F69" s="57"/>
      <c r="G69" s="57"/>
      <c r="H69" s="57"/>
      <c r="I69" s="57"/>
      <c r="J69" s="57"/>
      <c r="K69" s="57"/>
      <c r="L69" s="57"/>
      <c r="M69" s="57"/>
      <c r="N69" s="57"/>
      <c r="O69" s="57"/>
      <c r="P69" s="24"/>
      <c r="Q69" s="24"/>
      <c r="R69" s="6"/>
      <c r="S69" s="6"/>
      <c r="T69" s="6"/>
      <c r="U69" s="6"/>
      <c r="V69" s="6"/>
      <c r="W69" s="6"/>
      <c r="X69" s="6"/>
      <c r="Y69" s="6"/>
      <c r="Z69" s="6"/>
      <c r="AA69" s="68"/>
      <c r="AB69" s="68"/>
      <c r="AC69" s="6"/>
      <c r="AD69" s="95"/>
      <c r="AE69" s="99"/>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row>
    <row r="70" spans="1:252" s="96" customFormat="1" ht="15" hidden="1">
      <c r="A70" s="6"/>
      <c r="B70" s="57"/>
      <c r="C70" s="57"/>
      <c r="D70" s="57"/>
      <c r="E70" s="57"/>
      <c r="F70" s="57"/>
      <c r="G70" s="57"/>
      <c r="H70" s="57"/>
      <c r="I70" s="57"/>
      <c r="J70" s="57"/>
      <c r="K70" s="57"/>
      <c r="L70" s="57"/>
      <c r="M70" s="57"/>
      <c r="N70" s="57"/>
      <c r="O70" s="57"/>
      <c r="P70" s="24"/>
      <c r="Q70" s="24"/>
      <c r="R70" s="6"/>
      <c r="S70" s="6"/>
      <c r="T70" s="6"/>
      <c r="U70" s="6"/>
      <c r="V70" s="6"/>
      <c r="W70" s="6"/>
      <c r="X70" s="6"/>
      <c r="Y70" s="6"/>
      <c r="Z70" s="6"/>
      <c r="AA70" s="68"/>
      <c r="AB70" s="68"/>
      <c r="AC70" s="6"/>
      <c r="AD70" s="95"/>
      <c r="AE70" s="99"/>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row>
    <row r="71" spans="1:252" s="96" customFormat="1" ht="15" hidden="1">
      <c r="A71" s="6"/>
      <c r="B71" s="57"/>
      <c r="C71" s="57"/>
      <c r="D71" s="57"/>
      <c r="E71" s="57"/>
      <c r="F71" s="57"/>
      <c r="G71" s="57"/>
      <c r="H71" s="57"/>
      <c r="I71" s="57"/>
      <c r="J71" s="57"/>
      <c r="K71" s="57"/>
      <c r="L71" s="57"/>
      <c r="M71" s="57"/>
      <c r="N71" s="57"/>
      <c r="O71" s="57"/>
      <c r="P71" s="24"/>
      <c r="Q71" s="24"/>
      <c r="R71" s="6"/>
      <c r="S71" s="6"/>
      <c r="T71" s="6"/>
      <c r="U71" s="6"/>
      <c r="V71" s="6"/>
      <c r="W71" s="6"/>
      <c r="X71" s="6"/>
      <c r="Y71" s="6"/>
      <c r="Z71" s="6"/>
      <c r="AA71" s="68"/>
      <c r="AB71" s="68"/>
      <c r="AC71" s="6"/>
      <c r="AD71" s="95"/>
      <c r="AE71" s="99"/>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row>
    <row r="72" spans="1:252" s="96" customFormat="1" ht="15" hidden="1">
      <c r="A72" s="6"/>
      <c r="B72" s="57"/>
      <c r="C72" s="57"/>
      <c r="D72" s="57"/>
      <c r="E72" s="57"/>
      <c r="F72" s="57"/>
      <c r="G72" s="57"/>
      <c r="H72" s="57"/>
      <c r="I72" s="57"/>
      <c r="J72" s="57"/>
      <c r="K72" s="57"/>
      <c r="L72" s="57"/>
      <c r="M72" s="57"/>
      <c r="N72" s="57"/>
      <c r="O72" s="57"/>
      <c r="P72" s="24"/>
      <c r="Q72" s="24"/>
      <c r="R72" s="6"/>
      <c r="S72" s="6"/>
      <c r="T72" s="6"/>
      <c r="U72" s="6"/>
      <c r="V72" s="6"/>
      <c r="W72" s="6"/>
      <c r="X72" s="6"/>
      <c r="Y72" s="6"/>
      <c r="Z72" s="6"/>
      <c r="AA72" s="68"/>
      <c r="AB72" s="68"/>
      <c r="AC72" s="6"/>
      <c r="AD72" s="95"/>
      <c r="AE72" s="99"/>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row>
    <row r="73" spans="1:252" s="96" customFormat="1" ht="15" hidden="1">
      <c r="A73" s="6"/>
      <c r="B73" s="57"/>
      <c r="C73" s="57"/>
      <c r="D73" s="57"/>
      <c r="E73" s="57"/>
      <c r="F73" s="57"/>
      <c r="G73" s="57"/>
      <c r="H73" s="57"/>
      <c r="I73" s="57"/>
      <c r="J73" s="57"/>
      <c r="K73" s="57"/>
      <c r="L73" s="57"/>
      <c r="M73" s="57"/>
      <c r="N73" s="57"/>
      <c r="O73" s="57"/>
      <c r="P73" s="24"/>
      <c r="Q73" s="24"/>
      <c r="R73" s="6"/>
      <c r="S73" s="6"/>
      <c r="T73" s="6"/>
      <c r="U73" s="6"/>
      <c r="V73" s="6"/>
      <c r="W73" s="6"/>
      <c r="X73" s="6"/>
      <c r="Y73" s="6"/>
      <c r="Z73" s="6"/>
      <c r="AA73" s="68"/>
      <c r="AB73" s="68"/>
      <c r="AC73" s="6"/>
      <c r="AD73" s="95"/>
      <c r="AE73" s="99"/>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c r="HR73" s="3"/>
      <c r="HS73" s="3"/>
      <c r="HT73" s="3"/>
      <c r="HU73" s="3"/>
      <c r="HV73" s="3"/>
      <c r="HW73" s="3"/>
      <c r="HX73" s="3"/>
      <c r="HY73" s="3"/>
      <c r="HZ73" s="3"/>
      <c r="IA73" s="3"/>
      <c r="IB73" s="3"/>
      <c r="IC73" s="3"/>
      <c r="ID73" s="3"/>
      <c r="IE73" s="3"/>
      <c r="IF73" s="3"/>
      <c r="IG73" s="3"/>
      <c r="IH73" s="3"/>
      <c r="II73" s="3"/>
      <c r="IJ73" s="3"/>
      <c r="IK73" s="3"/>
      <c r="IL73" s="3"/>
      <c r="IM73" s="3"/>
      <c r="IN73" s="3"/>
      <c r="IO73" s="3"/>
      <c r="IP73" s="3"/>
      <c r="IQ73" s="3"/>
      <c r="IR73" s="3"/>
    </row>
    <row r="74" spans="1:252" s="96" customFormat="1" ht="15" hidden="1">
      <c r="A74" s="6"/>
      <c r="B74" s="57"/>
      <c r="C74" s="57"/>
      <c r="D74" s="57"/>
      <c r="E74" s="57"/>
      <c r="F74" s="57"/>
      <c r="G74" s="57"/>
      <c r="H74" s="57"/>
      <c r="I74" s="57"/>
      <c r="J74" s="57"/>
      <c r="K74" s="57"/>
      <c r="L74" s="57"/>
      <c r="M74" s="57"/>
      <c r="N74" s="57"/>
      <c r="O74" s="57"/>
      <c r="P74" s="24"/>
      <c r="Q74" s="24"/>
      <c r="R74" s="6"/>
      <c r="S74" s="6"/>
      <c r="T74" s="6"/>
      <c r="U74" s="6"/>
      <c r="V74" s="6"/>
      <c r="W74" s="6"/>
      <c r="X74" s="6"/>
      <c r="Y74" s="6"/>
      <c r="Z74" s="6"/>
      <c r="AA74" s="68"/>
      <c r="AB74" s="68"/>
      <c r="AC74" s="6"/>
      <c r="AD74" s="95"/>
      <c r="AE74" s="99"/>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row>
    <row r="75" spans="1:252" s="96" customFormat="1" ht="15" hidden="1">
      <c r="A75" s="6"/>
      <c r="B75" s="57"/>
      <c r="C75" s="57"/>
      <c r="D75" s="57"/>
      <c r="E75" s="57"/>
      <c r="F75" s="57"/>
      <c r="G75" s="57"/>
      <c r="H75" s="57"/>
      <c r="I75" s="57"/>
      <c r="J75" s="57"/>
      <c r="K75" s="57"/>
      <c r="L75" s="57"/>
      <c r="M75" s="57"/>
      <c r="N75" s="57"/>
      <c r="O75" s="57"/>
      <c r="P75" s="24"/>
      <c r="Q75" s="24"/>
      <c r="R75" s="6"/>
      <c r="S75" s="6"/>
      <c r="T75" s="6"/>
      <c r="U75" s="6"/>
      <c r="V75" s="6"/>
      <c r="W75" s="6"/>
      <c r="X75" s="6"/>
      <c r="Y75" s="6"/>
      <c r="Z75" s="6"/>
      <c r="AA75" s="68"/>
      <c r="AB75" s="68"/>
      <c r="AC75" s="6"/>
      <c r="AD75" s="95"/>
      <c r="AE75" s="99"/>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row>
    <row r="76" spans="1:252" s="96" customFormat="1" ht="15" hidden="1">
      <c r="A76" s="6"/>
      <c r="B76" s="57"/>
      <c r="C76" s="57"/>
      <c r="D76" s="57"/>
      <c r="E76" s="57"/>
      <c r="F76" s="57"/>
      <c r="G76" s="57"/>
      <c r="H76" s="57"/>
      <c r="I76" s="57"/>
      <c r="J76" s="57"/>
      <c r="K76" s="57"/>
      <c r="L76" s="57"/>
      <c r="M76" s="57"/>
      <c r="N76" s="57"/>
      <c r="O76" s="57"/>
      <c r="P76" s="24"/>
      <c r="Q76" s="24"/>
      <c r="R76" s="6"/>
      <c r="S76" s="6"/>
      <c r="T76" s="6"/>
      <c r="U76" s="6"/>
      <c r="V76" s="6"/>
      <c r="W76" s="6"/>
      <c r="X76" s="6"/>
      <c r="Y76" s="6"/>
      <c r="Z76" s="6"/>
      <c r="AA76" s="68"/>
      <c r="AB76" s="68"/>
      <c r="AC76" s="6"/>
      <c r="AD76" s="95"/>
      <c r="AE76" s="99"/>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row>
    <row r="77" spans="1:252" s="96" customFormat="1" ht="15" hidden="1">
      <c r="A77" s="6"/>
      <c r="B77" s="57"/>
      <c r="C77" s="57"/>
      <c r="D77" s="57"/>
      <c r="E77" s="57"/>
      <c r="F77" s="57"/>
      <c r="G77" s="57"/>
      <c r="H77" s="57"/>
      <c r="I77" s="57"/>
      <c r="J77" s="57"/>
      <c r="K77" s="57"/>
      <c r="L77" s="57"/>
      <c r="M77" s="57"/>
      <c r="N77" s="57"/>
      <c r="O77" s="57"/>
      <c r="P77" s="24"/>
      <c r="Q77" s="24"/>
      <c r="R77" s="6"/>
      <c r="S77" s="6"/>
      <c r="T77" s="6"/>
      <c r="U77" s="6"/>
      <c r="V77" s="6"/>
      <c r="W77" s="6"/>
      <c r="X77" s="6"/>
      <c r="Y77" s="6"/>
      <c r="Z77" s="6"/>
      <c r="AA77" s="68"/>
      <c r="AB77" s="68"/>
      <c r="AC77" s="6"/>
      <c r="AD77" s="95"/>
      <c r="AE77" s="99"/>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c r="HF77" s="3"/>
      <c r="HG77" s="3"/>
      <c r="HH77" s="3"/>
      <c r="HI77" s="3"/>
      <c r="HJ77" s="3"/>
      <c r="HK77" s="3"/>
      <c r="HL77" s="3"/>
      <c r="HM77" s="3"/>
      <c r="HN77" s="3"/>
      <c r="HO77" s="3"/>
      <c r="HP77" s="3"/>
      <c r="HQ77" s="3"/>
      <c r="HR77" s="3"/>
      <c r="HS77" s="3"/>
      <c r="HT77" s="3"/>
      <c r="HU77" s="3"/>
      <c r="HV77" s="3"/>
      <c r="HW77" s="3"/>
      <c r="HX77" s="3"/>
      <c r="HY77" s="3"/>
      <c r="HZ77" s="3"/>
      <c r="IA77" s="3"/>
      <c r="IB77" s="3"/>
      <c r="IC77" s="3"/>
      <c r="ID77" s="3"/>
      <c r="IE77" s="3"/>
      <c r="IF77" s="3"/>
      <c r="IG77" s="3"/>
      <c r="IH77" s="3"/>
      <c r="II77" s="3"/>
      <c r="IJ77" s="3"/>
      <c r="IK77" s="3"/>
      <c r="IL77" s="3"/>
      <c r="IM77" s="3"/>
      <c r="IN77" s="3"/>
      <c r="IO77" s="3"/>
      <c r="IP77" s="3"/>
      <c r="IQ77" s="3"/>
      <c r="IR77" s="3"/>
    </row>
    <row r="78" spans="1:252" s="96" customFormat="1" ht="15" hidden="1">
      <c r="A78" s="6"/>
      <c r="B78" s="57"/>
      <c r="C78" s="57"/>
      <c r="D78" s="57"/>
      <c r="E78" s="57"/>
      <c r="F78" s="57"/>
      <c r="G78" s="57"/>
      <c r="H78" s="57"/>
      <c r="I78" s="57"/>
      <c r="J78" s="57"/>
      <c r="K78" s="57"/>
      <c r="L78" s="57"/>
      <c r="M78" s="57"/>
      <c r="N78" s="57"/>
      <c r="O78" s="57"/>
      <c r="P78" s="24"/>
      <c r="Q78" s="24"/>
      <c r="R78" s="6"/>
      <c r="S78" s="6"/>
      <c r="T78" s="6"/>
      <c r="U78" s="6"/>
      <c r="V78" s="6"/>
      <c r="W78" s="6"/>
      <c r="X78" s="6"/>
      <c r="Y78" s="6"/>
      <c r="Z78" s="6"/>
      <c r="AA78" s="68"/>
      <c r="AB78" s="68"/>
      <c r="AC78" s="6"/>
      <c r="AD78" s="95"/>
      <c r="AE78" s="99"/>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c r="HF78" s="3"/>
      <c r="HG78" s="3"/>
      <c r="HH78" s="3"/>
      <c r="HI78" s="3"/>
      <c r="HJ78" s="3"/>
      <c r="HK78" s="3"/>
      <c r="HL78" s="3"/>
      <c r="HM78" s="3"/>
      <c r="HN78" s="3"/>
      <c r="HO78" s="3"/>
      <c r="HP78" s="3"/>
      <c r="HQ78" s="3"/>
      <c r="HR78" s="3"/>
      <c r="HS78" s="3"/>
      <c r="HT78" s="3"/>
      <c r="HU78" s="3"/>
      <c r="HV78" s="3"/>
      <c r="HW78" s="3"/>
      <c r="HX78" s="3"/>
      <c r="HY78" s="3"/>
      <c r="HZ78" s="3"/>
      <c r="IA78" s="3"/>
      <c r="IB78" s="3"/>
      <c r="IC78" s="3"/>
      <c r="ID78" s="3"/>
      <c r="IE78" s="3"/>
      <c r="IF78" s="3"/>
      <c r="IG78" s="3"/>
      <c r="IH78" s="3"/>
      <c r="II78" s="3"/>
      <c r="IJ78" s="3"/>
      <c r="IK78" s="3"/>
      <c r="IL78" s="3"/>
      <c r="IM78" s="3"/>
      <c r="IN78" s="3"/>
      <c r="IO78" s="3"/>
      <c r="IP78" s="3"/>
      <c r="IQ78" s="3"/>
      <c r="IR78" s="3"/>
    </row>
    <row r="79" spans="1:252" s="96" customFormat="1" ht="15" hidden="1">
      <c r="A79" s="6"/>
      <c r="B79" s="57"/>
      <c r="C79" s="57"/>
      <c r="D79" s="57"/>
      <c r="E79" s="57"/>
      <c r="F79" s="57"/>
      <c r="G79" s="57"/>
      <c r="H79" s="57"/>
      <c r="I79" s="57"/>
      <c r="J79" s="57"/>
      <c r="K79" s="57"/>
      <c r="L79" s="57"/>
      <c r="M79" s="57"/>
      <c r="N79" s="57"/>
      <c r="O79" s="57"/>
      <c r="P79" s="24"/>
      <c r="Q79" s="24"/>
      <c r="R79" s="6"/>
      <c r="S79" s="6"/>
      <c r="T79" s="6"/>
      <c r="U79" s="6"/>
      <c r="V79" s="6"/>
      <c r="W79" s="6"/>
      <c r="X79" s="6"/>
      <c r="Y79" s="6"/>
      <c r="Z79" s="6"/>
      <c r="AA79" s="68"/>
      <c r="AB79" s="68"/>
      <c r="AC79" s="6"/>
      <c r="AD79" s="95"/>
      <c r="AE79" s="99"/>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c r="HF79" s="3"/>
      <c r="HG79" s="3"/>
      <c r="HH79" s="3"/>
      <c r="HI79" s="3"/>
      <c r="HJ79" s="3"/>
      <c r="HK79" s="3"/>
      <c r="HL79" s="3"/>
      <c r="HM79" s="3"/>
      <c r="HN79" s="3"/>
      <c r="HO79" s="3"/>
      <c r="HP79" s="3"/>
      <c r="HQ79" s="3"/>
      <c r="HR79" s="3"/>
      <c r="HS79" s="3"/>
      <c r="HT79" s="3"/>
      <c r="HU79" s="3"/>
      <c r="HV79" s="3"/>
      <c r="HW79" s="3"/>
      <c r="HX79" s="3"/>
      <c r="HY79" s="3"/>
      <c r="HZ79" s="3"/>
      <c r="IA79" s="3"/>
      <c r="IB79" s="3"/>
      <c r="IC79" s="3"/>
      <c r="ID79" s="3"/>
      <c r="IE79" s="3"/>
      <c r="IF79" s="3"/>
      <c r="IG79" s="3"/>
      <c r="IH79" s="3"/>
      <c r="II79" s="3"/>
      <c r="IJ79" s="3"/>
      <c r="IK79" s="3"/>
      <c r="IL79" s="3"/>
      <c r="IM79" s="3"/>
      <c r="IN79" s="3"/>
      <c r="IO79" s="3"/>
      <c r="IP79" s="3"/>
      <c r="IQ79" s="3"/>
      <c r="IR79" s="3"/>
    </row>
    <row r="80" spans="1:252" s="96" customFormat="1" ht="15" hidden="1">
      <c r="A80" s="6"/>
      <c r="B80" s="57"/>
      <c r="C80" s="57"/>
      <c r="D80" s="57"/>
      <c r="E80" s="57"/>
      <c r="F80" s="57"/>
      <c r="G80" s="57"/>
      <c r="H80" s="57"/>
      <c r="I80" s="57"/>
      <c r="J80" s="57"/>
      <c r="K80" s="57"/>
      <c r="L80" s="57"/>
      <c r="M80" s="57"/>
      <c r="N80" s="57"/>
      <c r="O80" s="57"/>
      <c r="P80" s="24"/>
      <c r="Q80" s="24"/>
      <c r="R80" s="6"/>
      <c r="S80" s="6"/>
      <c r="T80" s="6"/>
      <c r="U80" s="6"/>
      <c r="V80" s="6"/>
      <c r="W80" s="6"/>
      <c r="X80" s="6"/>
      <c r="Y80" s="6"/>
      <c r="Z80" s="6"/>
      <c r="AA80" s="68"/>
      <c r="AB80" s="68"/>
      <c r="AC80" s="6"/>
      <c r="AD80" s="95"/>
      <c r="AE80" s="99"/>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c r="HF80" s="3"/>
      <c r="HG80" s="3"/>
      <c r="HH80" s="3"/>
      <c r="HI80" s="3"/>
      <c r="HJ80" s="3"/>
      <c r="HK80" s="3"/>
      <c r="HL80" s="3"/>
      <c r="HM80" s="3"/>
      <c r="HN80" s="3"/>
      <c r="HO80" s="3"/>
      <c r="HP80" s="3"/>
      <c r="HQ80" s="3"/>
      <c r="HR80" s="3"/>
      <c r="HS80" s="3"/>
      <c r="HT80" s="3"/>
      <c r="HU80" s="3"/>
      <c r="HV80" s="3"/>
      <c r="HW80" s="3"/>
      <c r="HX80" s="3"/>
      <c r="HY80" s="3"/>
      <c r="HZ80" s="3"/>
      <c r="IA80" s="3"/>
      <c r="IB80" s="3"/>
      <c r="IC80" s="3"/>
      <c r="ID80" s="3"/>
      <c r="IE80" s="3"/>
      <c r="IF80" s="3"/>
      <c r="IG80" s="3"/>
      <c r="IH80" s="3"/>
      <c r="II80" s="3"/>
      <c r="IJ80" s="3"/>
      <c r="IK80" s="3"/>
      <c r="IL80" s="3"/>
      <c r="IM80" s="3"/>
      <c r="IN80" s="3"/>
      <c r="IO80" s="3"/>
      <c r="IP80" s="3"/>
      <c r="IQ80" s="3"/>
      <c r="IR80" s="3"/>
    </row>
  </sheetData>
  <sheetProtection password="EE1F" sheet="1" objects="1" scenarios="1" selectLockedCells="1"/>
  <protectedRanges>
    <protectedRange sqref="M7 F12 I13:M13 F16 E17 I17:M17 F22:H52 L23:P52 C22:C52" name="Eingabebereich"/>
  </protectedRanges>
  <mergeCells count="47">
    <mergeCell ref="L21:P21"/>
    <mergeCell ref="B2:H2"/>
    <mergeCell ref="I2:J2"/>
    <mergeCell ref="K2:L2"/>
    <mergeCell ref="E5:H5"/>
    <mergeCell ref="M5:O5"/>
    <mergeCell ref="E7:H7"/>
    <mergeCell ref="M7:O7"/>
    <mergeCell ref="E17:F17"/>
    <mergeCell ref="C20:E20"/>
    <mergeCell ref="F20:H20"/>
    <mergeCell ref="I20:K20"/>
    <mergeCell ref="L20:P20"/>
    <mergeCell ref="L33:P33"/>
    <mergeCell ref="L22:P22"/>
    <mergeCell ref="L23:P23"/>
    <mergeCell ref="L24:P24"/>
    <mergeCell ref="L25:P25"/>
    <mergeCell ref="L26:P26"/>
    <mergeCell ref="L27:P27"/>
    <mergeCell ref="L28:P28"/>
    <mergeCell ref="L29:P29"/>
    <mergeCell ref="L30:P30"/>
    <mergeCell ref="L31:P31"/>
    <mergeCell ref="L32:P32"/>
    <mergeCell ref="L45:P45"/>
    <mergeCell ref="L34:P34"/>
    <mergeCell ref="L35:P35"/>
    <mergeCell ref="L36:P36"/>
    <mergeCell ref="L37:P37"/>
    <mergeCell ref="L38:P38"/>
    <mergeCell ref="L39:P39"/>
    <mergeCell ref="L40:P40"/>
    <mergeCell ref="L41:P41"/>
    <mergeCell ref="L42:P42"/>
    <mergeCell ref="L43:P43"/>
    <mergeCell ref="L44:P44"/>
    <mergeCell ref="L52:P52"/>
    <mergeCell ref="K55:O55"/>
    <mergeCell ref="C60:G60"/>
    <mergeCell ref="L60:P60"/>
    <mergeCell ref="L46:P46"/>
    <mergeCell ref="L47:P47"/>
    <mergeCell ref="L48:P48"/>
    <mergeCell ref="L49:P49"/>
    <mergeCell ref="L50:P50"/>
    <mergeCell ref="L51:P51"/>
  </mergeCells>
  <conditionalFormatting sqref="L23:L39 L44:L52 C22:I52">
    <cfRule type="expression" dxfId="183" priority="243" stopIfTrue="1">
      <formula>OR(($A22="Samstag"),($A22="Sonntag"),($AA22=TRUE()))</formula>
    </cfRule>
  </conditionalFormatting>
  <conditionalFormatting sqref="B22:B52">
    <cfRule type="expression" dxfId="182" priority="119" stopIfTrue="1">
      <formula>$AA22=TRUE()</formula>
    </cfRule>
    <cfRule type="expression" dxfId="181" priority="123" stopIfTrue="1">
      <formula>OR(($A22="Samstag"),($A22="Sonntag"))</formula>
    </cfRule>
    <cfRule type="expression" dxfId="180" priority="124" stopIfTrue="1">
      <formula>AND($E$17&lt;&gt;"",$B22&gt;=$E$17)</formula>
    </cfRule>
  </conditionalFormatting>
  <conditionalFormatting sqref="F32:H32 L23:L39">
    <cfRule type="expression" dxfId="179" priority="242" stopIfTrue="1">
      <formula>OR(($A23="Samstag"),($A23="Sonntag"))</formula>
    </cfRule>
  </conditionalFormatting>
  <conditionalFormatting sqref="F32:H32">
    <cfRule type="expression" dxfId="178" priority="241" stopIfTrue="1">
      <formula>OR(($A32="Samstag"),($A32="Sonntag"))</formula>
    </cfRule>
  </conditionalFormatting>
  <conditionalFormatting sqref="F52:H52">
    <cfRule type="expression" dxfId="177" priority="230" stopIfTrue="1">
      <formula>OR(($A52="Samstag"),($A52="Sonntag"))</formula>
    </cfRule>
  </conditionalFormatting>
  <conditionalFormatting sqref="F52:H52">
    <cfRule type="expression" dxfId="176" priority="229" stopIfTrue="1">
      <formula>OR(($A52="Samstag"),($A52="Sonntag"))</formula>
    </cfRule>
  </conditionalFormatting>
  <conditionalFormatting sqref="F46:H46">
    <cfRule type="expression" dxfId="175" priority="233" stopIfTrue="1">
      <formula>OR(($A46="Samstag"),($A46="Sonntag"))</formula>
    </cfRule>
  </conditionalFormatting>
  <conditionalFormatting sqref="F32:H32">
    <cfRule type="expression" dxfId="174" priority="237" stopIfTrue="1">
      <formula>OR(($A32="Samstag"),($A32="Sonntag"))</formula>
    </cfRule>
  </conditionalFormatting>
  <conditionalFormatting sqref="F24:H25">
    <cfRule type="expression" dxfId="173" priority="240" stopIfTrue="1">
      <formula>OR(($A24="Samstag"),($A24="Sonntag"))</formula>
    </cfRule>
  </conditionalFormatting>
  <conditionalFormatting sqref="F24:H24">
    <cfRule type="expression" dxfId="172" priority="239" stopIfTrue="1">
      <formula>OR(($A24="Samstag"),($A24="Sonntag"))</formula>
    </cfRule>
  </conditionalFormatting>
  <conditionalFormatting sqref="F25:H25">
    <cfRule type="expression" dxfId="171" priority="238" stopIfTrue="1">
      <formula>OR(($A25="Samstag"),($A25="Sonntag"))</formula>
    </cfRule>
  </conditionalFormatting>
  <conditionalFormatting sqref="F39:H39">
    <cfRule type="expression" dxfId="170" priority="235" stopIfTrue="1">
      <formula>OR(($A39="Samstag"),($A39="Sonntag"))</formula>
    </cfRule>
  </conditionalFormatting>
  <conditionalFormatting sqref="F39:H39">
    <cfRule type="expression" dxfId="169" priority="236" stopIfTrue="1">
      <formula>OR(($A39="Samstag"),($A39="Sonntag"))</formula>
    </cfRule>
  </conditionalFormatting>
  <conditionalFormatting sqref="F39:H39">
    <cfRule type="expression" dxfId="168" priority="234" stopIfTrue="1">
      <formula>OR(($A39="Samstag"),($A39="Sonntag"))</formula>
    </cfRule>
  </conditionalFormatting>
  <conditionalFormatting sqref="F46:H46">
    <cfRule type="expression" dxfId="167" priority="232" stopIfTrue="1">
      <formula>OR(($A46="Samstag"),($A46="Sonntag"))</formula>
    </cfRule>
  </conditionalFormatting>
  <conditionalFormatting sqref="F46:H46">
    <cfRule type="expression" dxfId="166" priority="231" stopIfTrue="1">
      <formula>OR(($A46="Samstag"),($A46="Sonntag"))</formula>
    </cfRule>
  </conditionalFormatting>
  <conditionalFormatting sqref="F22:H52">
    <cfRule type="expression" dxfId="165" priority="228" stopIfTrue="1">
      <formula>OR(($A22="Samstag"),($A22="Sonntag"))</formula>
    </cfRule>
  </conditionalFormatting>
  <conditionalFormatting sqref="F22:H52">
    <cfRule type="expression" dxfId="164" priority="227" stopIfTrue="1">
      <formula>OR(($A22="Samstag"),($A22="Sonntag"))</formula>
    </cfRule>
  </conditionalFormatting>
  <conditionalFormatting sqref="G23">
    <cfRule type="expression" dxfId="163" priority="226" stopIfTrue="1">
      <formula>OR(($A23="Samstag"),($A23="Sonntag"))</formula>
    </cfRule>
  </conditionalFormatting>
  <conditionalFormatting sqref="G23">
    <cfRule type="expression" dxfId="162" priority="225" stopIfTrue="1">
      <formula>OR(($A23="Samstag"),($A23="Sonntag"))</formula>
    </cfRule>
  </conditionalFormatting>
  <conditionalFormatting sqref="F31:H31">
    <cfRule type="expression" dxfId="161" priority="224" stopIfTrue="1">
      <formula>OR(($A31="Samstag"),($A31="Sonntag"))</formula>
    </cfRule>
  </conditionalFormatting>
  <conditionalFormatting sqref="F31:H31">
    <cfRule type="expression" dxfId="160" priority="223" stopIfTrue="1">
      <formula>OR(($A31="Samstag"),($A31="Sonntag"))</formula>
    </cfRule>
  </conditionalFormatting>
  <conditionalFormatting sqref="F38:H38">
    <cfRule type="expression" dxfId="159" priority="222" stopIfTrue="1">
      <formula>OR(($A38="Samstag"),($A38="Sonntag"))</formula>
    </cfRule>
  </conditionalFormatting>
  <conditionalFormatting sqref="F38:H38">
    <cfRule type="expression" dxfId="158" priority="221" stopIfTrue="1">
      <formula>OR(($A38="Samstag"),($A38="Sonntag"))</formula>
    </cfRule>
  </conditionalFormatting>
  <conditionalFormatting sqref="F45:H45">
    <cfRule type="expression" dxfId="157" priority="220" stopIfTrue="1">
      <formula>OR(($A45="Samstag"),($A45="Sonntag"))</formula>
    </cfRule>
  </conditionalFormatting>
  <conditionalFormatting sqref="F45:H45">
    <cfRule type="expression" dxfId="156" priority="219" stopIfTrue="1">
      <formula>OR(($A45="Samstag"),($A45="Sonntag"))</formula>
    </cfRule>
  </conditionalFormatting>
  <conditionalFormatting sqref="G26:G30">
    <cfRule type="expression" dxfId="155" priority="218" stopIfTrue="1">
      <formula>OR(($A26="Samstag"),($A26="Sonntag"))</formula>
    </cfRule>
  </conditionalFormatting>
  <conditionalFormatting sqref="G26:G30">
    <cfRule type="expression" dxfId="154" priority="217" stopIfTrue="1">
      <formula>OR(($A26="Samstag"),($A26="Sonntag"))</formula>
    </cfRule>
  </conditionalFormatting>
  <conditionalFormatting sqref="G33:G37">
    <cfRule type="expression" dxfId="153" priority="216" stopIfTrue="1">
      <formula>OR(($A33="Samstag"),($A33="Sonntag"))</formula>
    </cfRule>
  </conditionalFormatting>
  <conditionalFormatting sqref="G33:G37">
    <cfRule type="expression" dxfId="152" priority="215" stopIfTrue="1">
      <formula>OR(($A33="Samstag"),($A33="Sonntag"))</formula>
    </cfRule>
  </conditionalFormatting>
  <conditionalFormatting sqref="G40:G44">
    <cfRule type="expression" dxfId="151" priority="214" stopIfTrue="1">
      <formula>OR(($A40="Samstag"),($A40="Sonntag"))</formula>
    </cfRule>
  </conditionalFormatting>
  <conditionalFormatting sqref="G40:G44">
    <cfRule type="expression" dxfId="150" priority="213" stopIfTrue="1">
      <formula>OR(($A40="Samstag"),($A40="Sonntag"))</formula>
    </cfRule>
  </conditionalFormatting>
  <conditionalFormatting sqref="G47:G51">
    <cfRule type="expression" dxfId="149" priority="212" stopIfTrue="1">
      <formula>OR(($A47="Samstag"),($A47="Sonntag"))</formula>
    </cfRule>
  </conditionalFormatting>
  <conditionalFormatting sqref="G47:G51">
    <cfRule type="expression" dxfId="148" priority="211" stopIfTrue="1">
      <formula>OR(($A47="Samstag"),($A47="Sonntag"))</formula>
    </cfRule>
  </conditionalFormatting>
  <conditionalFormatting sqref="F23:H23">
    <cfRule type="expression" dxfId="147" priority="210" stopIfTrue="1">
      <formula>OR(($A23="Samstag"),($A23="Sonntag"))</formula>
    </cfRule>
  </conditionalFormatting>
  <conditionalFormatting sqref="F23:H23">
    <cfRule type="expression" dxfId="146" priority="209" stopIfTrue="1">
      <formula>OR(($A23="Samstag"),($A23="Sonntag"))</formula>
    </cfRule>
  </conditionalFormatting>
  <conditionalFormatting sqref="F26:H30">
    <cfRule type="expression" dxfId="145" priority="208" stopIfTrue="1">
      <formula>OR(($A26="Samstag"),($A26="Sonntag"))</formula>
    </cfRule>
  </conditionalFormatting>
  <conditionalFormatting sqref="F26:H30">
    <cfRule type="expression" dxfId="144" priority="207" stopIfTrue="1">
      <formula>OR(($A26="Samstag"),($A26="Sonntag"))</formula>
    </cfRule>
  </conditionalFormatting>
  <conditionalFormatting sqref="F33:H37">
    <cfRule type="expression" dxfId="143" priority="206" stopIfTrue="1">
      <formula>OR(($A33="Samstag"),($A33="Sonntag"))</formula>
    </cfRule>
  </conditionalFormatting>
  <conditionalFormatting sqref="F33:H37">
    <cfRule type="expression" dxfId="142" priority="205" stopIfTrue="1">
      <formula>OR(($A33="Samstag"),($A33="Sonntag"))</formula>
    </cfRule>
  </conditionalFormatting>
  <conditionalFormatting sqref="F40:H44">
    <cfRule type="expression" dxfId="141" priority="204" stopIfTrue="1">
      <formula>OR(($A40="Samstag"),($A40="Sonntag"))</formula>
    </cfRule>
  </conditionalFormatting>
  <conditionalFormatting sqref="F40:H44">
    <cfRule type="expression" dxfId="140" priority="203" stopIfTrue="1">
      <formula>OR(($A40="Samstag"),($A40="Sonntag"))</formula>
    </cfRule>
  </conditionalFormatting>
  <conditionalFormatting sqref="H40:H44">
    <cfRule type="expression" dxfId="139" priority="194" stopIfTrue="1">
      <formula>OR(($A40="Samstag"),($A40="Sonntag"))</formula>
    </cfRule>
  </conditionalFormatting>
  <conditionalFormatting sqref="H40:H44">
    <cfRule type="expression" dxfId="138" priority="193" stopIfTrue="1">
      <formula>OR(($A40="Samstag"),($A40="Sonntag"))</formula>
    </cfRule>
  </conditionalFormatting>
  <conditionalFormatting sqref="F47:H51">
    <cfRule type="expression" dxfId="137" priority="202" stopIfTrue="1">
      <formula>OR(($A47="Samstag"),($A47="Sonntag"))</formula>
    </cfRule>
  </conditionalFormatting>
  <conditionalFormatting sqref="F47:H51">
    <cfRule type="expression" dxfId="136" priority="201" stopIfTrue="1">
      <formula>OR(($A47="Samstag"),($A47="Sonntag"))</formula>
    </cfRule>
  </conditionalFormatting>
  <conditionalFormatting sqref="H23">
    <cfRule type="expression" dxfId="135" priority="200" stopIfTrue="1">
      <formula>OR(($A23="Samstag"),($A23="Sonntag"))</formula>
    </cfRule>
  </conditionalFormatting>
  <conditionalFormatting sqref="H23">
    <cfRule type="expression" dxfId="134" priority="199" stopIfTrue="1">
      <formula>OR(($A23="Samstag"),($A23="Sonntag"))</formula>
    </cfRule>
  </conditionalFormatting>
  <conditionalFormatting sqref="H26:H30">
    <cfRule type="expression" dxfId="133" priority="198" stopIfTrue="1">
      <formula>OR(($A26="Samstag"),($A26="Sonntag"))</formula>
    </cfRule>
  </conditionalFormatting>
  <conditionalFormatting sqref="H26:H30">
    <cfRule type="expression" dxfId="132" priority="197" stopIfTrue="1">
      <formula>OR(($A26="Samstag"),($A26="Sonntag"))</formula>
    </cfRule>
  </conditionalFormatting>
  <conditionalFormatting sqref="H33:H37">
    <cfRule type="expression" dxfId="131" priority="196" stopIfTrue="1">
      <formula>OR(($A33="Samstag"),($A33="Sonntag"))</formula>
    </cfRule>
  </conditionalFormatting>
  <conditionalFormatting sqref="H33:H37">
    <cfRule type="expression" dxfId="130" priority="195" stopIfTrue="1">
      <formula>OR(($A33="Samstag"),($A33="Sonntag"))</formula>
    </cfRule>
  </conditionalFormatting>
  <conditionalFormatting sqref="H47:H51">
    <cfRule type="expression" dxfId="129" priority="192" stopIfTrue="1">
      <formula>OR(($A47="Samstag"),($A47="Sonntag"))</formula>
    </cfRule>
  </conditionalFormatting>
  <conditionalFormatting sqref="H47:H51">
    <cfRule type="expression" dxfId="128" priority="191" stopIfTrue="1">
      <formula>OR(($A47="Samstag"),($A47="Sonntag"))</formula>
    </cfRule>
  </conditionalFormatting>
  <conditionalFormatting sqref="I22:I52">
    <cfRule type="expression" dxfId="127" priority="176" stopIfTrue="1">
      <formula>OR(($A22="Samstag"),($A22="Sonntag"))</formula>
    </cfRule>
  </conditionalFormatting>
  <conditionalFormatting sqref="I22:I52">
    <cfRule type="expression" dxfId="126" priority="175" stopIfTrue="1">
      <formula>OR(($A22="Samstag"),($A22="Sonntag"))</formula>
    </cfRule>
  </conditionalFormatting>
  <conditionalFormatting sqref="N13 N17">
    <cfRule type="cellIs" dxfId="125" priority="125" stopIfTrue="1" operator="equal">
      <formula>0</formula>
    </cfRule>
  </conditionalFormatting>
  <conditionalFormatting sqref="N13">
    <cfRule type="cellIs" dxfId="124" priority="245" stopIfTrue="1" operator="equal">
      <formula>$F$12</formula>
    </cfRule>
    <cfRule type="cellIs" dxfId="123" priority="246" stopIfTrue="1" operator="notEqual">
      <formula>$F$12</formula>
    </cfRule>
  </conditionalFormatting>
  <conditionalFormatting sqref="N17">
    <cfRule type="cellIs" dxfId="122" priority="126" stopIfTrue="1" operator="notEqual">
      <formula>$F$16</formula>
    </cfRule>
    <cfRule type="cellIs" dxfId="121" priority="244" stopIfTrue="1" operator="equal">
      <formula>$F$16</formula>
    </cfRule>
  </conditionalFormatting>
  <conditionalFormatting sqref="I23:I52">
    <cfRule type="expression" dxfId="120" priority="122" stopIfTrue="1">
      <formula>OR(($A23="Samstag"),($A23="Sonntag"))</formula>
    </cfRule>
  </conditionalFormatting>
  <conditionalFormatting sqref="I23:I52">
    <cfRule type="expression" dxfId="119" priority="121" stopIfTrue="1">
      <formula>OR(($A23="Samstag"),($A23="Sonntag"))</formula>
    </cfRule>
  </conditionalFormatting>
  <conditionalFormatting sqref="K55:N55">
    <cfRule type="expression" dxfId="118" priority="120" stopIfTrue="1">
      <formula>OR(($A55="Samstag"),($A55="Sonntag"))</formula>
    </cfRule>
  </conditionalFormatting>
  <conditionalFormatting sqref="G32">
    <cfRule type="expression" dxfId="117" priority="118" stopIfTrue="1">
      <formula>OR(($A32="Samstag"),($A32="Sonntag"))</formula>
    </cfRule>
  </conditionalFormatting>
  <conditionalFormatting sqref="G32">
    <cfRule type="expression" dxfId="116" priority="117" stopIfTrue="1">
      <formula>OR(($A32="Samstag"),($A32="Sonntag"))</formula>
    </cfRule>
  </conditionalFormatting>
  <conditionalFormatting sqref="G52">
    <cfRule type="expression" dxfId="115" priority="106" stopIfTrue="1">
      <formula>OR(($A52="Samstag"),($A52="Sonntag"))</formula>
    </cfRule>
  </conditionalFormatting>
  <conditionalFormatting sqref="G52">
    <cfRule type="expression" dxfId="114" priority="105" stopIfTrue="1">
      <formula>OR(($A52="Samstag"),($A52="Sonntag"))</formula>
    </cfRule>
  </conditionalFormatting>
  <conditionalFormatting sqref="G46">
    <cfRule type="expression" dxfId="113" priority="109" stopIfTrue="1">
      <formula>OR(($A46="Samstag"),($A46="Sonntag"))</formula>
    </cfRule>
  </conditionalFormatting>
  <conditionalFormatting sqref="G32">
    <cfRule type="expression" dxfId="112" priority="113" stopIfTrue="1">
      <formula>OR(($A32="Samstag"),($A32="Sonntag"))</formula>
    </cfRule>
  </conditionalFormatting>
  <conditionalFormatting sqref="G24:G25">
    <cfRule type="expression" dxfId="111" priority="116" stopIfTrue="1">
      <formula>OR(($A24="Samstag"),($A24="Sonntag"))</formula>
    </cfRule>
  </conditionalFormatting>
  <conditionalFormatting sqref="G24">
    <cfRule type="expression" dxfId="110" priority="115" stopIfTrue="1">
      <formula>OR(($A24="Samstag"),($A24="Sonntag"))</formula>
    </cfRule>
  </conditionalFormatting>
  <conditionalFormatting sqref="G25">
    <cfRule type="expression" dxfId="109" priority="114" stopIfTrue="1">
      <formula>OR(($A25="Samstag"),($A25="Sonntag"))</formula>
    </cfRule>
  </conditionalFormatting>
  <conditionalFormatting sqref="G39">
    <cfRule type="expression" dxfId="108" priority="111" stopIfTrue="1">
      <formula>OR(($A39="Samstag"),($A39="Sonntag"))</formula>
    </cfRule>
  </conditionalFormatting>
  <conditionalFormatting sqref="G39">
    <cfRule type="expression" dxfId="107" priority="112" stopIfTrue="1">
      <formula>OR(($A39="Samstag"),($A39="Sonntag"))</formula>
    </cfRule>
  </conditionalFormatting>
  <conditionalFormatting sqref="G39">
    <cfRule type="expression" dxfId="106" priority="110" stopIfTrue="1">
      <formula>OR(($A39="Samstag"),($A39="Sonntag"))</formula>
    </cfRule>
  </conditionalFormatting>
  <conditionalFormatting sqref="G46">
    <cfRule type="expression" dxfId="105" priority="108" stopIfTrue="1">
      <formula>OR(($A46="Samstag"),($A46="Sonntag"))</formula>
    </cfRule>
  </conditionalFormatting>
  <conditionalFormatting sqref="G46">
    <cfRule type="expression" dxfId="104" priority="107" stopIfTrue="1">
      <formula>OR(($A46="Samstag"),($A46="Sonntag"))</formula>
    </cfRule>
  </conditionalFormatting>
  <conditionalFormatting sqref="F22:H52">
    <cfRule type="expression" dxfId="103" priority="104" stopIfTrue="1">
      <formula>OR(($A22="Samstag"),($A22="Sonntag"))</formula>
    </cfRule>
  </conditionalFormatting>
  <conditionalFormatting sqref="F22:H52">
    <cfRule type="expression" dxfId="102" priority="103" stopIfTrue="1">
      <formula>OR(($A22="Samstag"),($A22="Sonntag"))</formula>
    </cfRule>
  </conditionalFormatting>
  <conditionalFormatting sqref="G31">
    <cfRule type="expression" dxfId="101" priority="102" stopIfTrue="1">
      <formula>OR(($A31="Samstag"),($A31="Sonntag"))</formula>
    </cfRule>
  </conditionalFormatting>
  <conditionalFormatting sqref="G31">
    <cfRule type="expression" dxfId="100" priority="101" stopIfTrue="1">
      <formula>OR(($A31="Samstag"),($A31="Sonntag"))</formula>
    </cfRule>
  </conditionalFormatting>
  <conditionalFormatting sqref="G38">
    <cfRule type="expression" dxfId="99" priority="100" stopIfTrue="1">
      <formula>OR(($A38="Samstag"),($A38="Sonntag"))</formula>
    </cfRule>
  </conditionalFormatting>
  <conditionalFormatting sqref="G38">
    <cfRule type="expression" dxfId="98" priority="99" stopIfTrue="1">
      <formula>OR(($A38="Samstag"),($A38="Sonntag"))</formula>
    </cfRule>
  </conditionalFormatting>
  <conditionalFormatting sqref="G45">
    <cfRule type="expression" dxfId="97" priority="98" stopIfTrue="1">
      <formula>OR(($A45="Samstag"),($A45="Sonntag"))</formula>
    </cfRule>
  </conditionalFormatting>
  <conditionalFormatting sqref="G45">
    <cfRule type="expression" dxfId="96" priority="97" stopIfTrue="1">
      <formula>OR(($A45="Samstag"),($A45="Sonntag"))</formula>
    </cfRule>
  </conditionalFormatting>
  <conditionalFormatting sqref="G40:G44">
    <cfRule type="expression" dxfId="95" priority="90" stopIfTrue="1">
      <formula>OR(($A40="Samstag"),($A40="Sonntag"))</formula>
    </cfRule>
  </conditionalFormatting>
  <conditionalFormatting sqref="G40:G44">
    <cfRule type="expression" dxfId="94" priority="89" stopIfTrue="1">
      <formula>OR(($A40="Samstag"),($A40="Sonntag"))</formula>
    </cfRule>
  </conditionalFormatting>
  <conditionalFormatting sqref="G23">
    <cfRule type="expression" dxfId="93" priority="96" stopIfTrue="1">
      <formula>OR(($A23="Samstag"),($A23="Sonntag"))</formula>
    </cfRule>
  </conditionalFormatting>
  <conditionalFormatting sqref="G23">
    <cfRule type="expression" dxfId="92" priority="95" stopIfTrue="1">
      <formula>OR(($A23="Samstag"),($A23="Sonntag"))</formula>
    </cfRule>
  </conditionalFormatting>
  <conditionalFormatting sqref="G26:G30">
    <cfRule type="expression" dxfId="91" priority="94" stopIfTrue="1">
      <formula>OR(($A26="Samstag"),($A26="Sonntag"))</formula>
    </cfRule>
  </conditionalFormatting>
  <conditionalFormatting sqref="G26:G30">
    <cfRule type="expression" dxfId="90" priority="93" stopIfTrue="1">
      <formula>OR(($A26="Samstag"),($A26="Sonntag"))</formula>
    </cfRule>
  </conditionalFormatting>
  <conditionalFormatting sqref="G33:G37">
    <cfRule type="expression" dxfId="89" priority="92" stopIfTrue="1">
      <formula>OR(($A33="Samstag"),($A33="Sonntag"))</formula>
    </cfRule>
  </conditionalFormatting>
  <conditionalFormatting sqref="G33:G37">
    <cfRule type="expression" dxfId="88" priority="91" stopIfTrue="1">
      <formula>OR(($A33="Samstag"),($A33="Sonntag"))</formula>
    </cfRule>
  </conditionalFormatting>
  <conditionalFormatting sqref="G47:G51">
    <cfRule type="expression" dxfId="87" priority="88" stopIfTrue="1">
      <formula>OR(($A47="Samstag"),($A47="Sonntag"))</formula>
    </cfRule>
  </conditionalFormatting>
  <conditionalFormatting sqref="G47:G51">
    <cfRule type="expression" dxfId="86" priority="87" stopIfTrue="1">
      <formula>OR(($A47="Samstag"),($A47="Sonntag"))</formula>
    </cfRule>
  </conditionalFormatting>
  <conditionalFormatting sqref="H32">
    <cfRule type="expression" dxfId="85" priority="86" stopIfTrue="1">
      <formula>OR(($A32="Samstag"),($A32="Sonntag"))</formula>
    </cfRule>
  </conditionalFormatting>
  <conditionalFormatting sqref="H32">
    <cfRule type="expression" dxfId="84" priority="85" stopIfTrue="1">
      <formula>OR(($A32="Samstag"),($A32="Sonntag"))</formula>
    </cfRule>
  </conditionalFormatting>
  <conditionalFormatting sqref="H52">
    <cfRule type="expression" dxfId="83" priority="74" stopIfTrue="1">
      <formula>OR(($A52="Samstag"),($A52="Sonntag"))</formula>
    </cfRule>
  </conditionalFormatting>
  <conditionalFormatting sqref="H52">
    <cfRule type="expression" dxfId="82" priority="73" stopIfTrue="1">
      <formula>OR(($A52="Samstag"),($A52="Sonntag"))</formula>
    </cfRule>
  </conditionalFormatting>
  <conditionalFormatting sqref="H46">
    <cfRule type="expression" dxfId="81" priority="77" stopIfTrue="1">
      <formula>OR(($A46="Samstag"),($A46="Sonntag"))</formula>
    </cfRule>
  </conditionalFormatting>
  <conditionalFormatting sqref="H32">
    <cfRule type="expression" dxfId="80" priority="81" stopIfTrue="1">
      <formula>OR(($A32="Samstag"),($A32="Sonntag"))</formula>
    </cfRule>
  </conditionalFormatting>
  <conditionalFormatting sqref="H24:H25">
    <cfRule type="expression" dxfId="79" priority="84" stopIfTrue="1">
      <formula>OR(($A24="Samstag"),($A24="Sonntag"))</formula>
    </cfRule>
  </conditionalFormatting>
  <conditionalFormatting sqref="H24">
    <cfRule type="expression" dxfId="78" priority="83" stopIfTrue="1">
      <formula>OR(($A24="Samstag"),($A24="Sonntag"))</formula>
    </cfRule>
  </conditionalFormatting>
  <conditionalFormatting sqref="H25">
    <cfRule type="expression" dxfId="77" priority="82" stopIfTrue="1">
      <formula>OR(($A25="Samstag"),($A25="Sonntag"))</formula>
    </cfRule>
  </conditionalFormatting>
  <conditionalFormatting sqref="H39">
    <cfRule type="expression" dxfId="76" priority="79" stopIfTrue="1">
      <formula>OR(($A39="Samstag"),($A39="Sonntag"))</formula>
    </cfRule>
  </conditionalFormatting>
  <conditionalFormatting sqref="H39">
    <cfRule type="expression" dxfId="75" priority="80" stopIfTrue="1">
      <formula>OR(($A39="Samstag"),($A39="Sonntag"))</formula>
    </cfRule>
  </conditionalFormatting>
  <conditionalFormatting sqref="H39">
    <cfRule type="expression" dxfId="74" priority="78" stopIfTrue="1">
      <formula>OR(($A39="Samstag"),($A39="Sonntag"))</formula>
    </cfRule>
  </conditionalFormatting>
  <conditionalFormatting sqref="H46">
    <cfRule type="expression" dxfId="73" priority="76" stopIfTrue="1">
      <formula>OR(($A46="Samstag"),($A46="Sonntag"))</formula>
    </cfRule>
  </conditionalFormatting>
  <conditionalFormatting sqref="H46">
    <cfRule type="expression" dxfId="72" priority="75" stopIfTrue="1">
      <formula>OR(($A46="Samstag"),($A46="Sonntag"))</formula>
    </cfRule>
  </conditionalFormatting>
  <conditionalFormatting sqref="H22:H52">
    <cfRule type="expression" dxfId="71" priority="72" stopIfTrue="1">
      <formula>OR(($A22="Samstag"),($A22="Sonntag"))</formula>
    </cfRule>
  </conditionalFormatting>
  <conditionalFormatting sqref="H22:H52">
    <cfRule type="expression" dxfId="70" priority="71" stopIfTrue="1">
      <formula>OR(($A22="Samstag"),($A22="Sonntag"))</formula>
    </cfRule>
  </conditionalFormatting>
  <conditionalFormatting sqref="H31">
    <cfRule type="expression" dxfId="69" priority="70" stopIfTrue="1">
      <formula>OR(($A31="Samstag"),($A31="Sonntag"))</formula>
    </cfRule>
  </conditionalFormatting>
  <conditionalFormatting sqref="H31">
    <cfRule type="expression" dxfId="68" priority="69" stopIfTrue="1">
      <formula>OR(($A31="Samstag"),($A31="Sonntag"))</formula>
    </cfRule>
  </conditionalFormatting>
  <conditionalFormatting sqref="H38">
    <cfRule type="expression" dxfId="67" priority="68" stopIfTrue="1">
      <formula>OR(($A38="Samstag"),($A38="Sonntag"))</formula>
    </cfRule>
  </conditionalFormatting>
  <conditionalFormatting sqref="H38">
    <cfRule type="expression" dxfId="66" priority="67" stopIfTrue="1">
      <formula>OR(($A38="Samstag"),($A38="Sonntag"))</formula>
    </cfRule>
  </conditionalFormatting>
  <conditionalFormatting sqref="H45">
    <cfRule type="expression" dxfId="65" priority="66" stopIfTrue="1">
      <formula>OR(($A45="Samstag"),($A45="Sonntag"))</formula>
    </cfRule>
  </conditionalFormatting>
  <conditionalFormatting sqref="H45">
    <cfRule type="expression" dxfId="64" priority="65" stopIfTrue="1">
      <formula>OR(($A45="Samstag"),($A45="Sonntag"))</formula>
    </cfRule>
  </conditionalFormatting>
  <conditionalFormatting sqref="H40:H44">
    <cfRule type="expression" dxfId="63" priority="58" stopIfTrue="1">
      <formula>OR(($A40="Samstag"),($A40="Sonntag"))</formula>
    </cfRule>
  </conditionalFormatting>
  <conditionalFormatting sqref="H40:H44">
    <cfRule type="expression" dxfId="62" priority="57" stopIfTrue="1">
      <formula>OR(($A40="Samstag"),($A40="Sonntag"))</formula>
    </cfRule>
  </conditionalFormatting>
  <conditionalFormatting sqref="H23">
    <cfRule type="expression" dxfId="61" priority="64" stopIfTrue="1">
      <formula>OR(($A23="Samstag"),($A23="Sonntag"))</formula>
    </cfRule>
  </conditionalFormatting>
  <conditionalFormatting sqref="H23">
    <cfRule type="expression" dxfId="60" priority="63" stopIfTrue="1">
      <formula>OR(($A23="Samstag"),($A23="Sonntag"))</formula>
    </cfRule>
  </conditionalFormatting>
  <conditionalFormatting sqref="H26:H30">
    <cfRule type="expression" dxfId="59" priority="62" stopIfTrue="1">
      <formula>OR(($A26="Samstag"),($A26="Sonntag"))</formula>
    </cfRule>
  </conditionalFormatting>
  <conditionalFormatting sqref="H26:H30">
    <cfRule type="expression" dxfId="58" priority="61" stopIfTrue="1">
      <formula>OR(($A26="Samstag"),($A26="Sonntag"))</formula>
    </cfRule>
  </conditionalFormatting>
  <conditionalFormatting sqref="H33:H37">
    <cfRule type="expression" dxfId="57" priority="60" stopIfTrue="1">
      <formula>OR(($A33="Samstag"),($A33="Sonntag"))</formula>
    </cfRule>
  </conditionalFormatting>
  <conditionalFormatting sqref="H33:H37">
    <cfRule type="expression" dxfId="56" priority="59" stopIfTrue="1">
      <formula>OR(($A33="Samstag"),($A33="Sonntag"))</formula>
    </cfRule>
  </conditionalFormatting>
  <conditionalFormatting sqref="H47:H51">
    <cfRule type="expression" dxfId="55" priority="56" stopIfTrue="1">
      <formula>OR(($A47="Samstag"),($A47="Sonntag"))</formula>
    </cfRule>
  </conditionalFormatting>
  <conditionalFormatting sqref="H47:H51">
    <cfRule type="expression" dxfId="54" priority="55" stopIfTrue="1">
      <formula>OR(($A47="Samstag"),($A47="Sonntag"))</formula>
    </cfRule>
  </conditionalFormatting>
  <conditionalFormatting sqref="F23:H52">
    <cfRule type="expression" dxfId="53" priority="54" stopIfTrue="1">
      <formula>OR(($A23="Samstag"),($A23="Sonntag"))</formula>
    </cfRule>
  </conditionalFormatting>
  <conditionalFormatting sqref="F23:H52">
    <cfRule type="expression" dxfId="52" priority="53" stopIfTrue="1">
      <formula>OR(($A23="Samstag"),($A23="Sonntag"))</formula>
    </cfRule>
  </conditionalFormatting>
  <conditionalFormatting sqref="I22:I52">
    <cfRule type="expression" dxfId="51" priority="38">
      <formula>(I22&gt;10)</formula>
    </cfRule>
    <cfRule type="expression" dxfId="50" priority="49" stopIfTrue="1">
      <formula>OR(($A22="Samstag"),($A22="Sonntag"))</formula>
    </cfRule>
    <cfRule type="expression" dxfId="49" priority="50" stopIfTrue="1">
      <formula>OR(($A22="Samstag"),($A22="Sonntag"))</formula>
    </cfRule>
    <cfRule type="expression" dxfId="48" priority="52" stopIfTrue="1">
      <formula>OR(($A22="Samstag"),($A22="Sonntag"))</formula>
    </cfRule>
  </conditionalFormatting>
  <conditionalFormatting sqref="I22:I52">
    <cfRule type="expression" dxfId="47" priority="51" stopIfTrue="1">
      <formula>OR(($A22="Samstag"),($A22="Sonntag"))</formula>
    </cfRule>
  </conditionalFormatting>
  <conditionalFormatting sqref="K56:P59">
    <cfRule type="expression" dxfId="46" priority="48">
      <formula>OR(ISERROR($K$55),($K$55&gt;""))</formula>
    </cfRule>
  </conditionalFormatting>
  <conditionalFormatting sqref="L44:L52">
    <cfRule type="expression" dxfId="45" priority="44" stopIfTrue="1">
      <formula>OR(($A44="Samstag"),($A44="Sonntag"))</formula>
    </cfRule>
  </conditionalFormatting>
  <conditionalFormatting sqref="L44:L52">
    <cfRule type="expression" dxfId="44" priority="47" stopIfTrue="1">
      <formula>OR(($A44="Samstag"),($A44="Sonntag"))</formula>
    </cfRule>
  </conditionalFormatting>
  <conditionalFormatting sqref="L44:L52">
    <cfRule type="expression" dxfId="43" priority="46" stopIfTrue="1">
      <formula>OR(($A44="Samstag"),($A44="Sonntag"))</formula>
    </cfRule>
  </conditionalFormatting>
  <conditionalFormatting sqref="L44:L52">
    <cfRule type="expression" dxfId="42" priority="45" stopIfTrue="1">
      <formula>OR(($A44="Samstag"),($A44="Sonntag"))</formula>
    </cfRule>
  </conditionalFormatting>
  <conditionalFormatting sqref="L22">
    <cfRule type="expression" dxfId="41" priority="43" stopIfTrue="1">
      <formula>OR(($A22="Samstag"),($A22="Sonntag"),($AA22=TRUE()))</formula>
    </cfRule>
  </conditionalFormatting>
  <conditionalFormatting sqref="L22">
    <cfRule type="expression" dxfId="40" priority="42" stopIfTrue="1">
      <formula>OR(($A22="Samstag"),($A22="Sonntag"))</formula>
    </cfRule>
  </conditionalFormatting>
  <conditionalFormatting sqref="L40:L43">
    <cfRule type="expression" dxfId="39" priority="41" stopIfTrue="1">
      <formula>OR(($A40="Samstag"),($A40="Sonntag"),($AA40=TRUE()))</formula>
    </cfRule>
  </conditionalFormatting>
  <conditionalFormatting sqref="L40:L43">
    <cfRule type="expression" dxfId="38" priority="40" stopIfTrue="1">
      <formula>OR(($A40="Samstag"),($A40="Sonntag"))</formula>
    </cfRule>
  </conditionalFormatting>
  <conditionalFormatting sqref="G22:G52">
    <cfRule type="expression" dxfId="37" priority="39">
      <formula>OR(AND(I22&gt;6,G22&lt;TIME(0,30,0)),AND(I22&gt;9,G22&lt;TIME(0,45,0)))</formula>
    </cfRule>
  </conditionalFormatting>
  <conditionalFormatting sqref="J22:K52">
    <cfRule type="expression" dxfId="36" priority="37" stopIfTrue="1">
      <formula>OR(($A22="Samstag"),($A22="Sonntag"),($AA22=TRUE()))</formula>
    </cfRule>
  </conditionalFormatting>
  <conditionalFormatting sqref="J22:J52">
    <cfRule type="expression" dxfId="35" priority="36" stopIfTrue="1">
      <formula>OR(($A22="Samstag"),($A22="Sonntag"))</formula>
    </cfRule>
  </conditionalFormatting>
  <conditionalFormatting sqref="J22:J52">
    <cfRule type="expression" dxfId="34" priority="35" stopIfTrue="1">
      <formula>OR(($A22="Samstag"),($A22="Sonntag"))</formula>
    </cfRule>
  </conditionalFormatting>
  <conditionalFormatting sqref="K32">
    <cfRule type="expression" dxfId="33" priority="34" stopIfTrue="1">
      <formula>OR(($A32="Samstag"),($A32="Sonntag"))</formula>
    </cfRule>
  </conditionalFormatting>
  <conditionalFormatting sqref="K32">
    <cfRule type="expression" dxfId="32" priority="33" stopIfTrue="1">
      <formula>OR(($A32="Samstag"),($A32="Sonntag"))</formula>
    </cfRule>
  </conditionalFormatting>
  <conditionalFormatting sqref="K52">
    <cfRule type="expression" dxfId="31" priority="22" stopIfTrue="1">
      <formula>OR(($A52="Samstag"),($A52="Sonntag"))</formula>
    </cfRule>
  </conditionalFormatting>
  <conditionalFormatting sqref="K52">
    <cfRule type="expression" dxfId="30" priority="21" stopIfTrue="1">
      <formula>OR(($A52="Samstag"),($A52="Sonntag"))</formula>
    </cfRule>
  </conditionalFormatting>
  <conditionalFormatting sqref="K46">
    <cfRule type="expression" dxfId="29" priority="25" stopIfTrue="1">
      <formula>OR(($A46="Samstag"),($A46="Sonntag"))</formula>
    </cfRule>
  </conditionalFormatting>
  <conditionalFormatting sqref="K32">
    <cfRule type="expression" dxfId="28" priority="29" stopIfTrue="1">
      <formula>OR(($A32="Samstag"),($A32="Sonntag"))</formula>
    </cfRule>
  </conditionalFormatting>
  <conditionalFormatting sqref="K24:K25">
    <cfRule type="expression" dxfId="27" priority="32" stopIfTrue="1">
      <formula>OR(($A24="Samstag"),($A24="Sonntag"))</formula>
    </cfRule>
  </conditionalFormatting>
  <conditionalFormatting sqref="K24">
    <cfRule type="expression" dxfId="26" priority="31" stopIfTrue="1">
      <formula>OR(($A24="Samstag"),($A24="Sonntag"))</formula>
    </cfRule>
  </conditionalFormatting>
  <conditionalFormatting sqref="K25">
    <cfRule type="expression" dxfId="25" priority="30" stopIfTrue="1">
      <formula>OR(($A25="Samstag"),($A25="Sonntag"))</formula>
    </cfRule>
  </conditionalFormatting>
  <conditionalFormatting sqref="K39">
    <cfRule type="expression" dxfId="24" priority="27" stopIfTrue="1">
      <formula>OR(($A39="Samstag"),($A39="Sonntag"))</formula>
    </cfRule>
  </conditionalFormatting>
  <conditionalFormatting sqref="K39">
    <cfRule type="expression" dxfId="23" priority="28" stopIfTrue="1">
      <formula>OR(($A39="Samstag"),($A39="Sonntag"))</formula>
    </cfRule>
  </conditionalFormatting>
  <conditionalFormatting sqref="K39">
    <cfRule type="expression" dxfId="22" priority="26" stopIfTrue="1">
      <formula>OR(($A39="Samstag"),($A39="Sonntag"))</formula>
    </cfRule>
  </conditionalFormatting>
  <conditionalFormatting sqref="K46">
    <cfRule type="expression" dxfId="21" priority="24" stopIfTrue="1">
      <formula>OR(($A46="Samstag"),($A46="Sonntag"))</formula>
    </cfRule>
  </conditionalFormatting>
  <conditionalFormatting sqref="K46">
    <cfRule type="expression" dxfId="20" priority="23" stopIfTrue="1">
      <formula>OR(($A46="Samstag"),($A46="Sonntag"))</formula>
    </cfRule>
  </conditionalFormatting>
  <conditionalFormatting sqref="K22:K52">
    <cfRule type="expression" dxfId="19" priority="20" stopIfTrue="1">
      <formula>OR(($A22="Samstag"),($A22="Sonntag"))</formula>
    </cfRule>
  </conditionalFormatting>
  <conditionalFormatting sqref="K22:K52">
    <cfRule type="expression" dxfId="18" priority="19" stopIfTrue="1">
      <formula>OR(($A22="Samstag"),($A22="Sonntag"))</formula>
    </cfRule>
  </conditionalFormatting>
  <conditionalFormatting sqref="K31">
    <cfRule type="expression" dxfId="17" priority="18" stopIfTrue="1">
      <formula>OR(($A31="Samstag"),($A31="Sonntag"))</formula>
    </cfRule>
  </conditionalFormatting>
  <conditionalFormatting sqref="K31">
    <cfRule type="expression" dxfId="16" priority="17" stopIfTrue="1">
      <formula>OR(($A31="Samstag"),($A31="Sonntag"))</formula>
    </cfRule>
  </conditionalFormatting>
  <conditionalFormatting sqref="K38">
    <cfRule type="expression" dxfId="15" priority="16" stopIfTrue="1">
      <formula>OR(($A38="Samstag"),($A38="Sonntag"))</formula>
    </cfRule>
  </conditionalFormatting>
  <conditionalFormatting sqref="K38">
    <cfRule type="expression" dxfId="14" priority="15" stopIfTrue="1">
      <formula>OR(($A38="Samstag"),($A38="Sonntag"))</formula>
    </cfRule>
  </conditionalFormatting>
  <conditionalFormatting sqref="K45">
    <cfRule type="expression" dxfId="13" priority="14" stopIfTrue="1">
      <formula>OR(($A45="Samstag"),($A45="Sonntag"))</formula>
    </cfRule>
  </conditionalFormatting>
  <conditionalFormatting sqref="K45">
    <cfRule type="expression" dxfId="12" priority="13" stopIfTrue="1">
      <formula>OR(($A45="Samstag"),($A45="Sonntag"))</formula>
    </cfRule>
  </conditionalFormatting>
  <conditionalFormatting sqref="K40:K44">
    <cfRule type="expression" dxfId="11" priority="6" stopIfTrue="1">
      <formula>OR(($A40="Samstag"),($A40="Sonntag"))</formula>
    </cfRule>
  </conditionalFormatting>
  <conditionalFormatting sqref="K40:K44">
    <cfRule type="expression" dxfId="10" priority="5" stopIfTrue="1">
      <formula>OR(($A40="Samstag"),($A40="Sonntag"))</formula>
    </cfRule>
  </conditionalFormatting>
  <conditionalFormatting sqref="K23">
    <cfRule type="expression" dxfId="9" priority="12" stopIfTrue="1">
      <formula>OR(($A23="Samstag"),($A23="Sonntag"))</formula>
    </cfRule>
  </conditionalFormatting>
  <conditionalFormatting sqref="K23">
    <cfRule type="expression" dxfId="8" priority="11" stopIfTrue="1">
      <formula>OR(($A23="Samstag"),($A23="Sonntag"))</formula>
    </cfRule>
  </conditionalFormatting>
  <conditionalFormatting sqref="K26:K30">
    <cfRule type="expression" dxfId="7" priority="10" stopIfTrue="1">
      <formula>OR(($A26="Samstag"),($A26="Sonntag"))</formula>
    </cfRule>
  </conditionalFormatting>
  <conditionalFormatting sqref="K26:K30">
    <cfRule type="expression" dxfId="6" priority="9" stopIfTrue="1">
      <formula>OR(($A26="Samstag"),($A26="Sonntag"))</formula>
    </cfRule>
  </conditionalFormatting>
  <conditionalFormatting sqref="K33:K37">
    <cfRule type="expression" dxfId="5" priority="8" stopIfTrue="1">
      <formula>OR(($A33="Samstag"),($A33="Sonntag"))</formula>
    </cfRule>
  </conditionalFormatting>
  <conditionalFormatting sqref="K33:K37">
    <cfRule type="expression" dxfId="4" priority="7" stopIfTrue="1">
      <formula>OR(($A33="Samstag"),($A33="Sonntag"))</formula>
    </cfRule>
  </conditionalFormatting>
  <conditionalFormatting sqref="K47:K51">
    <cfRule type="expression" dxfId="3" priority="4" stopIfTrue="1">
      <formula>OR(($A47="Samstag"),($A47="Sonntag"))</formula>
    </cfRule>
  </conditionalFormatting>
  <conditionalFormatting sqref="K47:K51">
    <cfRule type="expression" dxfId="2" priority="3" stopIfTrue="1">
      <formula>OR(($A47="Samstag"),($A47="Sonntag"))</formula>
    </cfRule>
  </conditionalFormatting>
  <conditionalFormatting sqref="J22:J52">
    <cfRule type="expression" dxfId="1" priority="2" stopIfTrue="1">
      <formula>OR(($A22="Samstag"),($A22="Sonntag"))</formula>
    </cfRule>
  </conditionalFormatting>
  <conditionalFormatting sqref="J22:J52">
    <cfRule type="expression" dxfId="0" priority="1" stopIfTrue="1">
      <formula>OR(($A22="Samstag"),($A22="Sonntag"))</formula>
    </cfRule>
  </conditionalFormatting>
  <dataValidations count="8">
    <dataValidation type="custom" allowBlank="1" showInputMessage="1" showErrorMessage="1" errorTitle="Eingabefehler" error="Bitte geben Sie eine Uhrzeit ( hh:mm ) zwischen 0:00 und 23:59 ein. Bitte beachten Sie, dass eine Eingabe an Wochenenden sowie an Tagen mit dem Status &quot;bezahlt abwesend&quot; nicht möglich ist." sqref="F22:H52">
      <formula1>AND(ISNUMBER(F22),DAY($B22)&gt;0,NOT(AND($C22="BA",NOT($S$8))),NOT(AND(OR($A22="Sonntag",$A22="Samstag"),NOT($S$7))),F22&gt;=TIME(0,0,0),F22&lt;=TIME(23,59,59))</formula1>
    </dataValidation>
    <dataValidation type="list" showInputMessage="1" showErrorMessage="1" sqref="C22:C52">
      <formula1>Auswahlart</formula1>
    </dataValidation>
    <dataValidation type="list" allowBlank="1" showInputMessage="1" showErrorMessage="1" sqref="E17:F17">
      <formula1>$B$22:$B$52</formula1>
    </dataValidation>
    <dataValidation showInputMessage="1" showErrorMessage="1" sqref="G10:I10"/>
    <dataValidation type="decimal" allowBlank="1" showInputMessage="1" showErrorMessage="1" sqref="I16:M16 I12:M12">
      <formula1>$AA$35</formula1>
      <formula2>$AA$36</formula2>
    </dataValidation>
    <dataValidation type="decimal" allowBlank="1" showInputMessage="1" showErrorMessage="1" errorTitle="Eingabefehler" error="Bitte geben Sie eine positive Dezimalzahl ein." sqref="D22:D52">
      <formula1>0</formula1>
      <formula2>20</formula2>
    </dataValidation>
    <dataValidation type="decimal" allowBlank="1" showInputMessage="1" showErrorMessage="1" sqref="M7:O7">
      <formula1>-9999999</formula1>
      <formula2>9999999</formula2>
    </dataValidation>
    <dataValidation type="decimal" allowBlank="1" showInputMessage="1" showErrorMessage="1" sqref="F12 F16 I17:M17 I13:M13">
      <formula1>0</formula1>
      <formula2>45</formula2>
    </dataValidation>
  </dataValidations>
  <pageMargins left="0.43307086614173229" right="0.23622047244094491" top="0.89" bottom="0.54" header="0.4" footer="0.31496062992125984"/>
  <pageSetup paperSize="9" scale="65" orientation="portrait" r:id="rId1"/>
  <headerFooter differentFirst="1" alignWithMargins="0">
    <firstHeader>&amp;L&amp;G</firstHeader>
  </headerFooter>
  <drawing r:id="rId2"/>
  <legacyDrawing r:id="rId3"/>
  <legacyDrawingHF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16</vt:i4>
      </vt:variant>
    </vt:vector>
  </HeadingPairs>
  <TitlesOfParts>
    <vt:vector size="30" baseType="lpstr">
      <vt:lpstr>Übersicht</vt:lpstr>
      <vt:lpstr>Hinweise</vt:lpstr>
      <vt:lpstr>Januar</vt:lpstr>
      <vt:lpstr>Februar</vt:lpstr>
      <vt:lpstr>März</vt:lpstr>
      <vt:lpstr>April</vt:lpstr>
      <vt:lpstr>Mai</vt:lpstr>
      <vt:lpstr>Juni</vt:lpstr>
      <vt:lpstr>Juli</vt:lpstr>
      <vt:lpstr>August</vt:lpstr>
      <vt:lpstr>September</vt:lpstr>
      <vt:lpstr>Oktober</vt:lpstr>
      <vt:lpstr>November</vt:lpstr>
      <vt:lpstr>Dezember</vt:lpstr>
      <vt:lpstr>Auswahlart</vt:lpstr>
      <vt:lpstr>April!Druckbereich</vt:lpstr>
      <vt:lpstr>August!Druckbereich</vt:lpstr>
      <vt:lpstr>Dezember!Druckbereich</vt:lpstr>
      <vt:lpstr>Februar!Druckbereich</vt:lpstr>
      <vt:lpstr>Hinweise!Druckbereich</vt:lpstr>
      <vt:lpstr>Januar!Druckbereich</vt:lpstr>
      <vt:lpstr>Juli!Druckbereich</vt:lpstr>
      <vt:lpstr>Juni!Druckbereich</vt:lpstr>
      <vt:lpstr>Mai!Druckbereich</vt:lpstr>
      <vt:lpstr>März!Druckbereich</vt:lpstr>
      <vt:lpstr>November!Druckbereich</vt:lpstr>
      <vt:lpstr>Oktober!Druckbereich</vt:lpstr>
      <vt:lpstr>September!Druckbereich</vt:lpstr>
      <vt:lpstr>Übersicht!Druckbereich</vt:lpstr>
      <vt:lpstr>Vorgaben</vt:lpstr>
    </vt:vector>
  </TitlesOfParts>
  <Company>FernUniversität in Hagen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Middel, Stephanie</dc:creator>
  <cp:lastModifiedBy>Jansen, David</cp:lastModifiedBy>
  <cp:lastPrinted>2015-08-03T13:13:40Z</cp:lastPrinted>
  <dcterms:created xsi:type="dcterms:W3CDTF">2015-01-12T09:04:31Z</dcterms:created>
  <dcterms:modified xsi:type="dcterms:W3CDTF">2017-06-21T12:20:03Z</dcterms:modified>
</cp:coreProperties>
</file>